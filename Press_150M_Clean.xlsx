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ress Assumptions" sheetId="1" state="visible" r:id="rId3"/>
    <sheet name="2. LP Economics" sheetId="2" state="visible" r:id="rId4"/>
    <sheet name="3. Deal Allocation" sheetId="3" state="visible" r:id="rId5"/>
    <sheet name="4b. Annual P&amp;L (Recycle)" sheetId="4" state="visible" r:id="rId6"/>
    <sheet name="4d. Monthly P&amp;L (Recycle)" sheetId="5" state="visible" r:id="rId7"/>
    <sheet name="4f. Quarterly P&amp;L (Recycle)" sheetId="6" state="visible" r:id="rId8"/>
    <sheet name="7. Per-Deal Returns" sheetId="7" state="visible" r:id="rId9"/>
    <sheet name="8. Investor Metrics" sheetId="8" state="visible" r:id="rId10"/>
    <sheet name="9. Deal Detail" sheetId="9" state="visible" r:id="rId11"/>
    <sheet name="14. J-Curve" sheetId="10" state="visible" r:id="rId12"/>
    <sheet name="15. Fee Drag" sheetId="11" state="visible" r:id="rId13"/>
    <sheet name="16. Deal Pipeline" sheetId="12" state="visible" r:id="rId14"/>
    <sheet name="17. Tax Efficiency" sheetId="13" state="visible" r:id="rId15"/>
    <sheet name="18. Cap Table" sheetId="14" state="visible" r:id="rId16"/>
    <sheet name="19. Sources &amp; Uses" sheetId="15" state="visible" r:id="rId17"/>
    <sheet name="20. Quarterly Distributions" sheetId="16" state="visible" r:id="rId18"/>
    <sheet name="21. Portfolio Dashboard" sheetId="17" state="visible" r:id="rId19"/>
    <sheet name="23. Fund OpBudget" sheetId="18" state="visible" r:id="rId20"/>
    <sheet name="25. Recycling Schedule" sheetId="19" state="visible" r:id="rId21"/>
    <sheet name="26. Team Comp" sheetId="20" state="visible" r:id="rId22"/>
    <sheet name="27. Governance" sheetId="21" state="visible" r:id="rId23"/>
    <sheet name="_Engine_R50" sheetId="22" state="hidden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<sst xmlns="http://schemas.openxmlformats.org/spreadsheetml/2006/main" count="1368" uniqueCount="1021">
  <si>
    <t xml:space="preserve">PRESS CAPITAL -- Fund I ASSUMPTIONS</t>
  </si>
  <si>
    <t xml:space="preserve">All blue cells are adjustable inputs. Black cells on gray are calculated.</t>
  </si>
  <si>
    <t xml:space="preserve">FUND PARAMETERS</t>
  </si>
  <si>
    <t xml:space="preserve">Fund Size ($)</t>
  </si>
  <si>
    <t xml:space="preserve">Number of Deals</t>
  </si>
  <si>
    <t xml:space="preserve">ARR per Deal ($)</t>
  </si>
  <si>
    <t xml:space="preserve">Entry Multiple (x ARR)</t>
  </si>
  <si>
    <t xml:space="preserve">Capital per Deal ($)</t>
  </si>
  <si>
    <t xml:space="preserve">ARR x Entry Multiple (auto)</t>
  </si>
  <si>
    <t xml:space="preserve">Total Capital Deployed ($)</t>
  </si>
  <si>
    <t xml:space="preserve">Deals x Capital per Deal (auto)</t>
  </si>
  <si>
    <t xml:space="preserve">Asset Deal % (50% rev haircut Y1)</t>
  </si>
  <si>
    <t xml:space="preserve">Share Deal %</t>
  </si>
  <si>
    <t xml:space="preserve">1 - Asset Deal %</t>
  </si>
  <si>
    <t xml:space="preserve">Leverage / Debt</t>
  </si>
  <si>
    <t xml:space="preserve">Zero</t>
  </si>
  <si>
    <t xml:space="preserve">No debt at fund or portfolio company level. All cash acquisitions.</t>
  </si>
  <si>
    <t xml:space="preserve">RETENTION &amp; GROWTH</t>
  </si>
  <si>
    <t xml:space="preserve">Net Dollar Retention -- Base Case</t>
  </si>
  <si>
    <t xml:space="preserve">Net Dollar Retention -- Homerun</t>
  </si>
  <si>
    <t xml:space="preserve">Net Dollar Retention -- Looser</t>
  </si>
  <si>
    <t xml:space="preserve">Conservative / stress test scenario</t>
  </si>
  <si>
    <t xml:space="preserve">NCA % -- Base Case</t>
  </si>
  <si>
    <t xml:space="preserve">NCA % -- Homerun</t>
  </si>
  <si>
    <t xml:space="preserve">Scenario Toggle (1=Base, 2=Homerun)</t>
  </si>
  <si>
    <t xml:space="preserve">1=Base, 2=Homerun, 3=Looser</t>
  </si>
  <si>
    <t xml:space="preserve">Active Retention Rate</t>
  </si>
  <si>
    <t xml:space="preserve">Active NCA Rate</t>
  </si>
  <si>
    <t xml:space="preserve">MARGIN MODEL</t>
  </si>
  <si>
    <t xml:space="preserve">Net Margin (flat, all years)</t>
  </si>
  <si>
    <t xml:space="preserve">Used in flat-margin tabs (3a-3d). Set to 0 to use component costs.</t>
  </si>
  <si>
    <t xml:space="preserve">COST STRUCTURE</t>
  </si>
  <si>
    <t xml:space="preserve">All companies assumed breakeven at entry. Adjust per-deal entry margin on Tab 2.</t>
  </si>
  <si>
    <t xml:space="preserve">COGS</t>
  </si>
  <si>
    <t xml:space="preserve">Ramps from 25% at close to 10% over 6 months</t>
  </si>
  <si>
    <t xml:space="preserve">Vendor Costs</t>
  </si>
  <si>
    <t xml:space="preserve">Ramps from 10% at close to 5% over 6 months</t>
  </si>
  <si>
    <t xml:space="preserve">Corporate Allocation</t>
  </si>
  <si>
    <t xml:space="preserve">Flat</t>
  </si>
  <si>
    <t xml:space="preserve">Legacy Headcount Expenses</t>
  </si>
  <si>
    <t xml:space="preserve">Acquired company staff. 50% cut day 1, 90% by M6, 100% by M24. Rate derived from entry profit per deal.</t>
  </si>
  <si>
    <t xml:space="preserve">Salary Overhead Loading</t>
  </si>
  <si>
    <t xml:space="preserve">On top of base salaries</t>
  </si>
  <si>
    <t xml:space="preserve">Bonus Pool Threshold</t>
  </si>
  <si>
    <t xml:space="preserve">Set to 100% per GP -- no bonus pool. All margin upside flows to investors.</t>
  </si>
  <si>
    <t xml:space="preserve">Included in OpEx. Everything above 62.5% EBITDA margin goes to team.</t>
  </si>
  <si>
    <t xml:space="preserve">WATERFALL &amp; DISTRIBUTION</t>
  </si>
  <si>
    <t xml:space="preserve">Phase 1: Return of Capital (x)</t>
  </si>
  <si>
    <t xml:space="preserve">100% to LPs until 1x returned</t>
  </si>
  <si>
    <t xml:space="preserve">Preferred Return (Annual)</t>
  </si>
  <si>
    <t xml:space="preserve">10% pref on unreturned capital</t>
  </si>
  <si>
    <t xml:space="preserve">Tier 2: LP Split % (1x-2x)</t>
  </si>
  <si>
    <t xml:space="preserve">HoldCo gets 20%</t>
  </si>
  <si>
    <t xml:space="preserve">Tier 3: LP Split % (2x-3x)</t>
  </si>
  <si>
    <t xml:space="preserve">HoldCo gets 25%</t>
  </si>
  <si>
    <t xml:space="preserve">Tier 4: LP Split % (above 3x)</t>
  </si>
  <si>
    <t xml:space="preserve">HoldCo gets 30% -- perpetual</t>
  </si>
  <si>
    <t xml:space="preserve">Mgmt Fee Schedule</t>
  </si>
  <si>
    <t xml:space="preserve">2% Y1 only</t>
  </si>
  <si>
    <t xml:space="preserve">0% after Y1 once 3 deals deployed</t>
  </si>
  <si>
    <t xml:space="preserve">TIERED WATERFALL THRESHOLDS</t>
  </si>
  <si>
    <t xml:space="preserve">Tier</t>
  </si>
  <si>
    <t xml:space="preserve">Threshold (x)</t>
  </si>
  <si>
    <t xml:space="preserve">LP Split %</t>
  </si>
  <si>
    <t xml:space="preserve">Tier 1</t>
  </si>
  <si>
    <t xml:space="preserve">1x</t>
  </si>
  <si>
    <t xml:space="preserve">Tier 2</t>
  </si>
  <si>
    <t xml:space="preserve">2x</t>
  </si>
  <si>
    <t xml:space="preserve">Tier 3</t>
  </si>
  <si>
    <t xml:space="preserve">3x</t>
  </si>
  <si>
    <t xml:space="preserve">Tier 4 (above 3x)</t>
  </si>
  <si>
    <t xml:space="preserve">TEAM &amp; COMPENSATION</t>
  </si>
  <si>
    <t xml:space="preserve">CEO Salary ($, base)</t>
  </si>
  <si>
    <t xml:space="preserve">COO Salary ($, base)</t>
  </si>
  <si>
    <t xml:space="preserve">CFO Salary ($, base)</t>
  </si>
  <si>
    <t xml:space="preserve">CPO Salary ($, base)</t>
  </si>
  <si>
    <t xml:space="preserve">CTO Salary ($, base)</t>
  </si>
  <si>
    <t xml:space="preserve">CRO Salary ($, base)</t>
  </si>
  <si>
    <t xml:space="preserve">Team Steady State Headcount</t>
  </si>
  <si>
    <t xml:space="preserve">  Direct Reports: 5 at $250K</t>
  </si>
  <si>
    <t xml:space="preserve">Senior operators (layered in with deals 1-3)</t>
  </si>
  <si>
    <t xml:space="preserve">  Direct Reports: 9 at $125K</t>
  </si>
  <si>
    <t xml:space="preserve">Junior operators (layered in with deals 3-5)</t>
  </si>
  <si>
    <t xml:space="preserve">ARR Step Threshold ($)</t>
  </si>
  <si>
    <t xml:space="preserve">Step-Up Multiplier per Tier</t>
  </si>
  <si>
    <t xml:space="preserve">1.5x = 50% raise per tier; compounds across tiers</t>
  </si>
  <si>
    <t xml:space="preserve">DEPLOYMENT TIMING</t>
  </si>
  <si>
    <t xml:space="preserve">Fund Start Month (Global)</t>
  </si>
  <si>
    <t xml:space="preserve">Deal Closing Schedule (Global Month):</t>
  </si>
  <si>
    <t xml:space="preserve">  OpCo 1</t>
  </si>
  <si>
    <t xml:space="preserve">  OpCo 2</t>
  </si>
  <si>
    <t xml:space="preserve">  OpCo 3</t>
  </si>
  <si>
    <t xml:space="preserve">  OpCo 4</t>
  </si>
  <si>
    <t xml:space="preserve">  OpCo 5</t>
  </si>
  <si>
    <t xml:space="preserve">CAPITAL RECYCLING</t>
  </si>
  <si>
    <t xml:space="preserve">Recycling Enabled (1=Yes, 0=No)</t>
  </si>
  <si>
    <t xml:space="preserve">Recycle % of Pre-Waterfall NI</t>
  </si>
  <si>
    <t xml:space="preserve">100% during reinvestment period</t>
  </si>
  <si>
    <t xml:space="preserve">Reinvestment Period (months)</t>
  </si>
  <si>
    <t xml:space="preserve">50% recycling; window = M40 (2 yrs post full deployment); 120% deployment cap; done in practice M32.</t>
  </si>
  <si>
    <t xml:space="preserve">3-year lockup; recycle stops after M36</t>
  </si>
  <si>
    <t xml:space="preserve">Number of Recycled Deals</t>
  </si>
  <si>
    <t xml:space="preserve">OpCos 6-9, every 4 months</t>
  </si>
  <si>
    <t xml:space="preserve">Gross Capital, Recycled Deal ($)</t>
  </si>
  <si>
    <t xml:space="preserve">Total Recycled Capital ($)</t>
  </si>
  <si>
    <t xml:space="preserve">4 x $30M (auto)</t>
  </si>
  <si>
    <t xml:space="preserve">PER-DEAL ALLOCATION (Mixed Portfolio + Entry Margins)</t>
  </si>
  <si>
    <t xml:space="preserve">UW NDR = observed minus haircut. Profiles shown in col C.</t>
  </si>
  <si>
    <t xml:space="preserve">DEAL GRID (engine reads ARR / mult / close; UW NDR set per deal in engine)</t>
  </si>
  <si>
    <t xml:space="preserve">Outcome</t>
  </si>
  <si>
    <t xml:space="preserve">Profile</t>
  </si>
  <si>
    <t xml:space="preserve">ARR ($mm)</t>
  </si>
  <si>
    <t xml:space="preserve">Entry Mult</t>
  </si>
  <si>
    <t xml:space="preserve">UW NDR</t>
  </si>
  <si>
    <t xml:space="preserve">Real NDR</t>
  </si>
  <si>
    <t xml:space="preserve">Close M</t>
  </si>
  <si>
    <t xml:space="preserve">Close M (#)</t>
  </si>
  <si>
    <t xml:space="preserve">#1</t>
  </si>
  <si>
    <t xml:space="preserve">OBS100/UW95</t>
  </si>
  <si>
    <t xml:space="preserve">M4</t>
  </si>
  <si>
    <t xml:space="preserve">#2</t>
  </si>
  <si>
    <t xml:space="preserve">OBS95/UW90</t>
  </si>
  <si>
    <t xml:space="preserve">M7</t>
  </si>
  <si>
    <t xml:space="preserve">#3</t>
  </si>
  <si>
    <t xml:space="preserve">OBS90/UW85</t>
  </si>
  <si>
    <t xml:space="preserve">M10</t>
  </si>
  <si>
    <t xml:space="preserve">#4</t>
  </si>
  <si>
    <t xml:space="preserve">M12</t>
  </si>
  <si>
    <t xml:space="preserve">#5</t>
  </si>
  <si>
    <t xml:space="preserve">OBS100/UW95 recycled</t>
  </si>
  <si>
    <t xml:space="preserve">M16</t>
  </si>
  <si>
    <t xml:space="preserve">Recycled deal slot rows (96-99 unused)</t>
  </si>
  <si>
    <t xml:space="preserve">#6</t>
  </si>
  <si>
    <t xml:space="preserve">UNUSED</t>
  </si>
  <si>
    <t xml:space="preserve">M24</t>
  </si>
  <si>
    <t xml:space="preserve">#7</t>
  </si>
  <si>
    <t xml:space="preserve">M28</t>
  </si>
  <si>
    <t xml:space="preserve">#8</t>
  </si>
  <si>
    <t xml:space="preserve">M32</t>
  </si>
  <si>
    <t xml:space="preserve">#9</t>
  </si>
  <si>
    <t xml:space="preserve">M36</t>
  </si>
  <si>
    <t xml:space="preserve">FTE per OpCo (legacy headcount at close)</t>
  </si>
  <si>
    <t xml:space="preserve">Loaded Cost per FTE ($)</t>
  </si>
  <si>
    <t xml:space="preserve">Avg Tenure (years)</t>
  </si>
  <si>
    <t xml:space="preserve">Drives severance weeks per person</t>
  </si>
  <si>
    <t xml:space="preserve">Weeks Severance per Year of Service</t>
  </si>
  <si>
    <t xml:space="preserve">Lean policy</t>
  </si>
  <si>
    <t xml:space="preserve">Severance Cap (weeks)</t>
  </si>
  <si>
    <t xml:space="preserve">Max weeks per individual</t>
  </si>
  <si>
    <t xml:space="preserve">Avg Severance Weeks per FTE (auto)</t>
  </si>
  <si>
    <t xml:space="preserve">MIN(weeks_per_yr x tenure, cap)</t>
  </si>
  <si>
    <t xml:space="preserve">Avg Severance per FTE ($) (auto)</t>
  </si>
  <si>
    <t xml:space="preserve">Base salary basis</t>
  </si>
  <si>
    <t xml:space="preserve">Severance Split</t>
  </si>
  <si>
    <t xml:space="preserve">Per deal on Tab 2</t>
  </si>
  <si>
    <t xml:space="preserve">Options: Seller (0%), 50/50 (50%), Press (100%). Set per deal in col M.</t>
  </si>
  <si>
    <t xml:space="preserve">Press Severance Cost per OpCo (auto)</t>
  </si>
  <si>
    <t xml:space="preserve">Cash hit at close month</t>
  </si>
  <si>
    <t xml:space="preserve">TERMINAL VALUE (Exit Assumption)</t>
  </si>
  <si>
    <t xml:space="preserve">Exit Month -- n/a (permanent hold)</t>
  </si>
  <si>
    <t xml:space="preserve">M120 = end of Year 10</t>
  </si>
  <si>
    <t xml:space="preserve">Terminal Value Multiple (x ARR)</t>
  </si>
  <si>
    <t xml:space="preserve">Applied to ending ARR per OpCo at exit</t>
  </si>
  <si>
    <t xml:space="preserve">Include Exit in Waterfall (1=Yes, 0=No)</t>
  </si>
  <si>
    <t xml:space="preserve">Toggle to add exit proceeds to Distributable NI</t>
  </si>
  <si>
    <t xml:space="preserve">MODEL HORIZON</t>
  </si>
  <si>
    <t xml:space="preserve">Total Months (P&amp;L horizon)</t>
  </si>
  <si>
    <t xml:space="preserve">180 = 15 years (annual tabs), 120 = 10 years (monthly tabs)</t>
  </si>
  <si>
    <t xml:space="preserve">Monthly P&amp;L Months</t>
  </si>
  <si>
    <t xml:space="preserve">Tabs 3c/3d show this many months</t>
  </si>
  <si>
    <t xml:space="preserve">Annual P&amp;L Years</t>
  </si>
  <si>
    <t xml:space="preserve">Tabs 3a/3b show this many years</t>
  </si>
  <si>
    <t xml:space="preserve">CONFIDENTIAL -- DO NOT DISTRIBUTE</t>
  </si>
  <si>
    <t xml:space="preserve">STRUCTURE SETTINGS</t>
  </si>
  <si>
    <t xml:space="preserve">(per-deal UW NDR is set in the engine; no scenario toggle)</t>
  </si>
  <si>
    <t xml:space="preserve">Bonus pool</t>
  </si>
  <si>
    <t xml:space="preserve">None -- threshold 100%; all operating margin to LPs.</t>
  </si>
  <si>
    <t xml:space="preserve">GP commit % of fund</t>
  </si>
  <si>
    <t xml:space="preserve">GP commits 2% of fund alongside LPs.</t>
  </si>
  <si>
    <t xml:space="preserve">GP commit $ ($mm)</t>
  </si>
  <si>
    <t xml:space="preserve">Derived.</t>
  </si>
  <si>
    <t xml:space="preserve">Implied GP carry / GP commit</t>
  </si>
  <si>
    <t xml:space="preserve">GP carry earned per $ of GP commit.</t>
  </si>
  <si>
    <t xml:space="preserve">Y15 wind-down multiplier -- PERMANENT HOLD: set to 0, no terminal value</t>
  </si>
  <si>
    <t xml:space="preserve">Permanent hold -- no wind-down value assumed.</t>
  </si>
  <si>
    <t xml:space="preserve">LP ECONOMICS BY COMMITMENT SIZE (Fund I -- 50% Recycle)</t>
  </si>
  <si>
    <t xml:space="preserve">Live from _Engine_R50 (50% recycle). Returns identical across commitment sizes; cash scales linearly.</t>
  </si>
  <si>
    <t xml:space="preserve">$5M</t>
  </si>
  <si>
    <t xml:space="preserve">$10M</t>
  </si>
  <si>
    <t xml:space="preserve">$25M</t>
  </si>
  <si>
    <t xml:space="preserve">FUND PARTICIPATION</t>
  </si>
  <si>
    <t xml:space="preserve">Commitment</t>
  </si>
  <si>
    <t xml:space="preserve">Payback (months)</t>
  </si>
  <si>
    <t xml:space="preserve">TBD</t>
  </si>
  <si>
    <t xml:space="preserve">10-YEAR RETURNS</t>
  </si>
  <si>
    <t xml:space="preserve">LP Net IRR (Staged)</t>
  </si>
  <si>
    <t xml:space="preserve">LP MOIC / DPI</t>
  </si>
  <si>
    <t xml:space="preserve">Cash Distributed</t>
  </si>
  <si>
    <t xml:space="preserve">15-YEAR RETURNS</t>
  </si>
  <si>
    <t xml:space="preserve">Total Cash</t>
  </si>
  <si>
    <t xml:space="preserve">NOTE: returns above are identical across commitment sizes (the model has no LP class differentiation).</t>
  </si>
  <si>
    <t xml:space="preserve">See Tab 11 for NDR x Margin joint sensitivity.  See Tab 20 for quarterly cash schedule.</t>
  </si>
  <si>
    <t xml:space="preserve">PRESS CAPITAL -- DEAL ALLOCATION</t>
  </si>
  <si>
    <t xml:space="preserve">4 initial deals ($100M ARR, blended 1.50x) + 1 recycled ($18M ARR @ 2.0x). Seller-paid severance nets price down.</t>
  </si>
  <si>
    <t xml:space="preserve">Deal</t>
  </si>
  <si>
    <t xml:space="preserve">Gross Price</t>
  </si>
  <si>
    <t xml:space="preserve">Sev Disc</t>
  </si>
  <si>
    <t xml:space="preserve">Net Price</t>
  </si>
  <si>
    <t xml:space="preserve">NDR</t>
  </si>
  <si>
    <t xml:space="preserve">Entry Profit</t>
  </si>
  <si>
    <t xml:space="preserve">Close Mo</t>
  </si>
  <si>
    <t xml:space="preserve">#5 (recycled)</t>
  </si>
  <si>
    <t xml:space="preserve">TOTAL</t>
  </si>
  <si>
    <t xml:space="preserve">RECYCLED DEAL (50% retention through close; 120% deployment cap)</t>
  </si>
  <si>
    <t xml:space="preserve">Green = premium (profitable + growing). Gold = par. Red = distress discount.</t>
  </si>
  <si>
    <t xml:space="preserve">PRESS CAPITAL  --  FUND I P&amp;L  |  50% RECYCLE x 36mo</t>
  </si>
  <si>
    <t xml:space="preserve">8 deals @ $24M ARR. 50% retained M1-36..  LIVE from _Engine_R50.</t>
  </si>
  <si>
    <t xml:space="preserve">($mm)</t>
  </si>
  <si>
    <t xml:space="preserve">Total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</si>
  <si>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</si>
  <si>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</si>
  <si>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</si>
  <si>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</si>
  <si>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</si>
  <si>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</si>
  <si>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</si>
  <si>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</si>
  <si>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</si>
  <si>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</si>
  <si>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</si>
  <si>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</si>
  <si>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</si>
  <si>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</si>
  <si>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</si>
  <si>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Revenue</t>
  </si>
  <si>
    <t xml:space="preserve">    Cost of Goods Sold</t>
  </si>
  <si>
    <t xml:space="preserve">Gross Profit</t>
  </si>
  <si>
    <t xml:space="preserve">Operating Expenses</t>
  </si>
  <si>
    <t xml:space="preserve">    Vendor Costs</t>
  </si>
  <si>
    <t xml:space="preserve">    Corporate Allocation</t>
  </si>
  <si>
    <t xml:space="preserve">    Team Compensation</t>
  </si>
  <si>
    <t xml:space="preserve">    Legacy Headcount Expenses</t>
  </si>
  <si>
    <t xml:space="preserve">    Bonus Pool</t>
  </si>
  <si>
    <t xml:space="preserve">Total Operating Expenses</t>
  </si>
  <si>
    <t xml:space="preserve">EBITDA</t>
  </si>
  <si>
    <t xml:space="preserve">EBITDA Margin</t>
  </si>
  <si>
    <t xml:space="preserve">    Severance (Press 50%)</t>
  </si>
  <si>
    <t xml:space="preserve">Operating Income</t>
  </si>
  <si>
    <t xml:space="preserve">    Management Fee</t>
  </si>
  <si>
    <t xml:space="preserve">    Retained for Recycling (50%)</t>
  </si>
  <si>
    <t xml:space="preserve">Distributable Cash</t>
  </si>
  <si>
    <t xml:space="preserve">Cumulative Distributable</t>
  </si>
  <si>
    <t xml:space="preserve">MONTHLY P&amp;L  |  8 deals @ $24M ARR  (LIVE)</t>
  </si>
  <si>
    <t xml:space="preserve">M1</t>
  </si>
  <si>
    <t xml:space="preserve">M2</t>
  </si>
  <si>
    <t xml:space="preserve">M3</t>
  </si>
  <si>
    <t xml:space="preserve">M5</t>
  </si>
  <si>
    <t xml:space="preserve">M6</t>
  </si>
  <si>
    <t xml:space="preserve">M8</t>
  </si>
  <si>
    <t xml:space="preserve">M9</t>
  </si>
  <si>
    <t xml:space="preserve">M11</t>
  </si>
  <si>
    <t xml:space="preserve">M13</t>
  </si>
  <si>
    <t xml:space="preserve">M14</t>
  </si>
  <si>
    <t xml:space="preserve">M15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</si>
  <si>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</si>
  <si>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</si>
  <si>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</si>
  <si>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</si>
  <si>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</si>
  <si>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</si>
  <si>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</si>
  <si>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M25</t>
  </si>
  <si>
    <t xml:space="preserve">M26</t>
  </si>
  <si>
    <t xml:space="preserve">M27</t>
  </si>
  <si>
    <t xml:space="preserve">M29</t>
  </si>
  <si>
    <t xml:space="preserve">M30</t>
  </si>
  <si>
    <t xml:space="preserve">M31</t>
  </si>
  <si>
    <t xml:space="preserve">M33</t>
  </si>
  <si>
    <t xml:space="preserve">M34</t>
  </si>
  <si>
    <t xml:space="preserve">M35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</si>
  <si>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</si>
  <si>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</si>
  <si>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</si>
  <si>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</si>
  <si>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</si>
  <si>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</si>
  <si>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</si>
  <si>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</si>
  <si>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</si>
  <si>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</si>
  <si>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</si>
  <si>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</si>
  <si>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</si>
  <si>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</si>
  <si>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</si>
  <si>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</si>
  <si>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</si>
  <si>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</si>
  <si>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</si>
  <si>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</si>
  <si>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</si>
  <si>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</si>
  <si>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</si>
  <si>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</si>
  <si>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M61</t>
  </si>
  <si>
    <t xml:space="preserve">M62</t>
  </si>
  <si>
    <t xml:space="preserve">M63</t>
  </si>
  <si>
    <t xml:space="preserve">M64</t>
  </si>
  <si>
    <t xml:space="preserve">M65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</si>
  <si>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</si>
  <si>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</si>
  <si>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</si>
  <si>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</si>
  <si>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</si>
  <si>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</si>
  <si>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</si>
  <si>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</si>
  <si>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</si>
  <si>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</si>
  <si>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</si>
  <si>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</si>
  <si>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</si>
  <si>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</si>
  <si>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</si>
  <si>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</si>
  <si>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</si>
  <si>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</si>
  <si>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</si>
  <si>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</si>
  <si>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</si>
  <si>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</si>
  <si>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</si>
  <si>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</si>
  <si>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</si>
  <si>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</si>
  <si>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</si>
  <si>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</si>
  <si>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</si>
  <si>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</si>
  <si>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</si>
  <si>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M97</t>
  </si>
  <si>
    <t xml:space="preserve">M98</t>
  </si>
  <si>
    <t xml:space="preserve">M99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</si>
  <si>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</si>
  <si>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</si>
  <si>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</si>
  <si>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</si>
  <si>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</si>
  <si>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</si>
  <si>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</si>
  <si>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</si>
  <si>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</si>
  <si>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</si>
  <si>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</si>
  <si>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</si>
  <si>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</si>
  <si>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</si>
  <si>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</si>
  <si>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</si>
  <si>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</si>
  <si>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</si>
  <si>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</si>
  <si>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M119</t>
  </si>
  <si>
    <t xml:space="preserve">M120</t>
  </si>
  <si>
    <t xml:space="preserve">M121</t>
  </si>
  <si>
    <t xml:space="preserve">M122</t>
  </si>
  <si>
    <t xml:space="preserve">M123</t>
  </si>
  <si>
    <t xml:space="preserve">M124</t>
  </si>
  <si>
    <t xml:space="preserve">M125</t>
  </si>
  <si>
    <t xml:space="preserve">M126</t>
  </si>
  <si>
    <t xml:space="preserve">M127</t>
  </si>
  <si>
    <t xml:space="preserve">M128</t>
  </si>
  <si>
    <t xml:space="preserve">M129</t>
  </si>
  <si>
    <t xml:space="preserve">M130</t>
  </si>
  <si>
    <t xml:space="preserve">M131</t>
  </si>
  <si>
    <t xml:space="preserve">M132</t>
  </si>
  <si>
    <t xml:space="preserve">M133</t>
  </si>
  <si>
    <t xml:space="preserve">M134</t>
  </si>
  <si>
    <t xml:space="preserve">M135</t>
  </si>
  <si>
    <t xml:space="preserve">M136</t>
  </si>
  <si>
    <t xml:space="preserve">M137</t>
  </si>
  <si>
    <t xml:space="preserve">M138</t>
  </si>
  <si>
    <t xml:space="preserve">M139</t>
  </si>
  <si>
    <t xml:space="preserve">M140</t>
  </si>
  <si>
    <t xml:space="preserve">M141</t>
  </si>
  <si>
    <t xml:space="preserve">M142</t>
  </si>
  <si>
    <t xml:space="preserve">M143</t>
  </si>
  <si>
    <t xml:space="preserve">M144</t>
  </si>
  <si>
    <t xml:space="preserve">M145</t>
  </si>
  <si>
    <t xml:space="preserve">M146</t>
  </si>
  <si>
    <t xml:space="preserve">M147</t>
  </si>
  <si>
    <t xml:space="preserve">M148</t>
  </si>
  <si>
    <t xml:space="preserve">M149</t>
  </si>
  <si>
    <t xml:space="preserve">M150</t>
  </si>
  <si>
    <t xml:space="preserve">M151</t>
  </si>
  <si>
    <t xml:space="preserve">M152</t>
  </si>
  <si>
    <t xml:space="preserve">M153</t>
  </si>
  <si>
    <t xml:space="preserve">M154</t>
  </si>
  <si>
    <t xml:space="preserve">M155</t>
  </si>
  <si>
    <t xml:space="preserve">M156</t>
  </si>
  <si>
    <t xml:space="preserve">M157</t>
  </si>
  <si>
    <t xml:space="preserve">M158</t>
  </si>
  <si>
    <t xml:space="preserve">M159</t>
  </si>
  <si>
    <t xml:space="preserve">M160</t>
  </si>
  <si>
    <t xml:space="preserve">M161</t>
  </si>
  <si>
    <t xml:space="preserve">M162</t>
  </si>
  <si>
    <t xml:space="preserve">M163</t>
  </si>
  <si>
    <t xml:space="preserve">M164</t>
  </si>
  <si>
    <t xml:space="preserve">M165</t>
  </si>
  <si>
    <t xml:space="preserve">M166</t>
  </si>
  <si>
    <t xml:space="preserve">M167</t>
  </si>
  <si>
    <t xml:space="preserve">M168</t>
  </si>
  <si>
    <t xml:space="preserve">M169</t>
  </si>
  <si>
    <t xml:space="preserve">M170</t>
  </si>
  <si>
    <t xml:space="preserve">M171</t>
  </si>
  <si>
    <t xml:space="preserve">M172</t>
  </si>
  <si>
    <t xml:space="preserve">M173</t>
  </si>
  <si>
    <t xml:space="preserve">M174</t>
  </si>
  <si>
    <t xml:space="preserve">M175</t>
  </si>
  <si>
    <t xml:space="preserve">M176</t>
  </si>
  <si>
    <t xml:space="preserve">M177</t>
  </si>
  <si>
    <t xml:space="preserve">M178</t>
  </si>
  <si>
    <t xml:space="preserve">M179</t>
  </si>
  <si>
    <t xml:space="preserve">M180</t>
  </si>
  <si>
    <t xml:space="preserve">Revenue by Deal</t>
  </si>
  <si>
    <t xml:space="preserve">    Deal #1</t>
  </si>
  <si>
    <t xml:space="preserve">    Deal #2</t>
  </si>
  <si>
    <t xml:space="preserve">    Deal #3</t>
  </si>
  <si>
    <t xml:space="preserve">    Deal #4</t>
  </si>
  <si>
    <t xml:space="preserve">    Deal #5</t>
  </si>
  <si>
    <t xml:space="preserve">    Deal #6</t>
  </si>
  <si>
    <t xml:space="preserve">    Deal #7</t>
  </si>
  <si>
    <t xml:space="preserve">    Deal #8</t>
  </si>
  <si>
    <t xml:space="preserve">Portfolio P&amp;L</t>
  </si>
  <si>
    <t xml:space="preserve">    Retained (50%)</t>
  </si>
  <si>
    <t xml:space="preserve">QUARTERLY P&amp;L  |  8 deals  (LIVE)</t>
  </si>
  <si>
    <t xml:space="preserve">Y1Q1</t>
  </si>
  <si>
    <t xml:space="preserve">Y1Q2</t>
  </si>
  <si>
    <t xml:space="preserve">Y1Q3</t>
  </si>
  <si>
    <t xml:space="preserve">Y1Q4</t>
  </si>
  <si>
    <t xml:space="preserve">Y2Q1</t>
  </si>
  <si>
    <t xml:space="preserve">Y2Q2</t>
  </si>
  <si>
    <t xml:space="preserve">Y2Q3</t>
  </si>
  <si>
    <t xml:space="preserve">Y2Q4</t>
  </si>
  <si>
    <t xml:space="preserve">Y3Q1</t>
  </si>
  <si>
    <t xml:space="preserve">Y3Q2</t>
  </si>
  <si>
    <t xml:space="preserve">Y3Q3</t>
  </si>
  <si>
    <t xml:space="preserve">Y3Q4</t>
  </si>
  <si>
    <t xml:space="preserve">Y4Q1</t>
  </si>
  <si>
    <t xml:space="preserve">Y4Q2</t>
  </si>
  <si>
    <t xml:space="preserve">Y4Q3</t>
  </si>
  <si>
    <t xml:space="preserve">Y4Q4</t>
  </si>
  <si>
    <t xml:space="preserve">Y5Q1</t>
  </si>
  <si>
    <t xml:space="preserve">Y5Q2</t>
  </si>
  <si>
    <t xml:space="preserve">Y5Q3</t>
  </si>
  <si>
    <t xml:space="preserve">Y5Q4</t>
  </si>
  <si>
    <t xml:space="preserve">Y6Q1</t>
  </si>
  <si>
    <t xml:space="preserve">Y6Q2</t>
  </si>
  <si>
    <t xml:space="preserve">Y6Q3</t>
  </si>
  <si>
    <t xml:space="preserve">Y6Q4</t>
  </si>
  <si>
    <t xml:space="preserve">Y7Q1</t>
  </si>
  <si>
    <t xml:space="preserve">Y7Q2</t>
  </si>
  <si>
    <t xml:space="preserve">Y7Q3</t>
  </si>
  <si>
    <t xml:space="preserve">Y7Q4</t>
  </si>
  <si>
    <t xml:space="preserve">Y8Q1</t>
  </si>
  <si>
    <t xml:space="preserve">Y8Q2</t>
  </si>
  <si>
    <t xml:space="preserve">Y8Q3</t>
  </si>
  <si>
    <t xml:space="preserve">Y8Q4</t>
  </si>
  <si>
    <t xml:space="preserve">Y9Q1</t>
  </si>
  <si>
    <t xml:space="preserve">Y9Q2</t>
  </si>
  <si>
    <t xml:space="preserve">Y9Q3</t>
  </si>
  <si>
    <t xml:space="preserve">Y9Q4</t>
  </si>
  <si>
    <t xml:space="preserve">Y10Q1</t>
  </si>
  <si>
    <t xml:space="preserve">Y10Q2</t>
  </si>
  <si>
    <t xml:space="preserve">Y10Q3</t>
  </si>
  <si>
    <t xml:space="preserve">Y10Q4</t>
  </si>
  <si>
    <t xml:space="preserve">Y11Q1</t>
  </si>
  <si>
    <t xml:space="preserve">Y11Q2</t>
  </si>
  <si>
    <t xml:space="preserve">Y11Q3</t>
  </si>
  <si>
    <t xml:space="preserve">Y11Q4</t>
  </si>
  <si>
    <t xml:space="preserve">Y12Q1</t>
  </si>
  <si>
    <t xml:space="preserve">Y12Q2</t>
  </si>
  <si>
    <t xml:space="preserve">Y12Q3</t>
  </si>
  <si>
    <t xml:space="preserve">Y12Q4</t>
  </si>
  <si>
    <t xml:space="preserve">Y13Q1</t>
  </si>
  <si>
    <t xml:space="preserve">Y13Q2</t>
  </si>
  <si>
    <t xml:space="preserve">Y13Q3</t>
  </si>
  <si>
    <t xml:space="preserve">Y13Q4</t>
  </si>
  <si>
    <t xml:space="preserve">Y14Q1</t>
  </si>
  <si>
    <t xml:space="preserve">Y14Q2</t>
  </si>
  <si>
    <t xml:space="preserve">Y14Q3</t>
  </si>
  <si>
    <t xml:space="preserve">Y14Q4</t>
  </si>
  <si>
    <t xml:space="preserve">Y15Q1</t>
  </si>
  <si>
    <t xml:space="preserve">Y15Q2</t>
  </si>
  <si>
    <t xml:space="preserve">Y15Q3</t>
  </si>
  <si>
    <t xml:space="preserve">Y15Q4</t>
  </si>
  <si>
    <t xml:space="preserve">    Legacy Headcount</t>
  </si>
  <si>
    <t xml:space="preserve">Total OpEx</t>
  </si>
  <si>
    <t xml:space="preserve">    Severance</t>
  </si>
  <si>
    <t xml:space="preserve">Cumulative</t>
  </si>
  <si>
    <t xml:space="preserve">ORIGINAL 5 DEALS</t>
  </si>
  <si>
    <t xml:space="preserve">Type</t>
  </si>
  <si>
    <t xml:space="preserve">Mult</t>
  </si>
  <si>
    <t xml:space="preserve">Purchase</t>
  </si>
  <si>
    <t xml:space="preserve">15Y Rev</t>
  </si>
  <si>
    <t xml:space="preserve">15Y NOI</t>
  </si>
  <si>
    <t xml:space="preserve">15Y Cash</t>
  </si>
  <si>
    <t xml:space="preserve">MOIC</t>
  </si>
  <si>
    <t xml:space="preserve">IRR</t>
  </si>
  <si>
    <t xml:space="preserve">Type B</t>
  </si>
  <si>
    <t xml:space="preserve">WINNER</t>
  </si>
  <si>
    <t xml:space="preserve">Type A</t>
  </si>
  <si>
    <t xml:space="preserve">AVERAGE</t>
  </si>
  <si>
    <t xml:space="preserve">LOSER</t>
  </si>
  <si>
    <t xml:space="preserve">RECYCLED DEALS (if recycling ON)</t>
  </si>
  <si>
    <t xml:space="preserve">LP CASH CONTRIBUTION BY DEAL (Fund I -- 50% Recycle)</t>
  </si>
  <si>
    <t xml:space="preserve">Method: each deal's share of portfolio revenue x portfolio EBITDA, then apply LP share of total distributable.</t>
  </si>
  <si>
    <t xml:space="preserve">ARR</t>
  </si>
  <si>
    <t xml:space="preserve">15Y Revenue</t>
  </si>
  <si>
    <t xml:space="preserve">% of Rev</t>
  </si>
  <si>
    <t xml:space="preserve">Exit Y10</t>
  </si>
  <si>
    <t xml:space="preserve">LP cash $</t>
  </si>
  <si>
    <t xml:space="preserve">% of LP cash</t>
  </si>
  <si>
    <t xml:space="preserve">Top 2 deals share of LP cash:</t>
  </si>
  <si>
    <t xml:space="preserve">Note: per-deal contribution pro-rated by revenue share; fund-level costs are shared.</t>
  </si>
  <si>
    <t xml:space="preserve">CONCENTRATION  --  50% RECYCLE (9 deals)</t>
  </si>
  <si>
    <t xml:space="preserve">Exit</t>
  </si>
  <si>
    <t xml:space="preserve">Top 2 deals % of LP cash</t>
  </si>
  <si>
    <t xml:space="preserve">Top 4 deals % of LP cash</t>
  </si>
  <si>
    <t xml:space="preserve">PRESS CAPITAL  --  FUND I INVESTOR METRICS</t>
  </si>
  <si>
    <t xml:space="preserve">$150M fund, 50% recycle. Live from _Engine_R50.</t>
  </si>
  <si>
    <t xml:space="preserve">LIVE from engine tabs. All 3 scenarios auto-update from Tab 1.</t>
  </si>
  <si>
    <t xml:space="preserve">Fund I (50% Recycle)</t>
  </si>
  <si>
    <t xml:space="preserve">FUND OVERVIEW</t>
  </si>
  <si>
    <t xml:space="preserve">Fund Size</t>
  </si>
  <si>
    <t xml:space="preserve">Capital Deployed (incl. recycled)</t>
  </si>
  <si>
    <t xml:space="preserve">Total Deals</t>
  </si>
  <si>
    <t xml:space="preserve">Blended Entry Multiple</t>
  </si>
  <si>
    <t xml:space="preserve">Blended UW NDR (ARR-weighted)</t>
  </si>
  <si>
    <t xml:space="preserve">CAPITAL RETURN TIMELINE</t>
  </si>
  <si>
    <t xml:space="preserve">Payback (years)</t>
  </si>
  <si>
    <t xml:space="preserve">LP Cash Distributed</t>
  </si>
  <si>
    <t xml:space="preserve">GP Carry</t>
  </si>
  <si>
    <t xml:space="preserve">ANNUAL CASH YIELD</t>
  </si>
  <si>
    <t xml:space="preserve">SINGLE-DEAL P&amp;L  (LIVE)</t>
  </si>
  <si>
    <t xml:space="preserve">Pick OpCo # in B4 (1-5; #5 is the recycled deal). Live from the deal grid and engine.</t>
  </si>
  <si>
    <t xml:space="preserve">OpCo to view (1-5)</t>
  </si>
  <si>
    <t xml:space="preserve">Close month</t>
  </si>
  <si>
    <t xml:space="preserve">UW NDR (per deal, from engine)</t>
  </si>
  <si>
    <t xml:space="preserve">Entry multiple</t>
  </si>
  <si>
    <t xml:space="preserve">Purchase price ($mm)</t>
  </si>
  <si>
    <t xml:space="preserve">Year-by-year P&amp;L for selected deal</t>
  </si>
  <si>
    <t xml:space="preserve">Year</t>
  </si>
  <si>
    <t xml:space="preserve">COGS+Vendor+Corp (21%)</t>
  </si>
  <si>
    <t xml:space="preserve">EBITDA (pre-fund alloc)</t>
  </si>
  <si>
    <t xml:space="preserve">Note: EBITDA shown is pre-allocation of team comp + bonus pool. See Tabs 4a-4g for portfolio-level distributable.</t>
  </si>
  <si>
    <t xml:space="preserve">WORKING CAPITAL / J-CURVE  --  FIRST 24 MONTHS</t>
  </si>
  <si>
    <t xml:space="preserve">No recycling. Live from _Engine_NR. First 24 months of LP cash position.</t>
  </si>
  <si>
    <t xml:space="preserve">Capital Calls</t>
  </si>
  <si>
    <t xml:space="preserve">Severance</t>
  </si>
  <si>
    <t xml:space="preserve">Management Fee</t>
  </si>
  <si>
    <t xml:space="preserve">NOTES:</t>
  </si>
  <si>
    <t xml:space="preserve">(1) Cumulative (row 12) shows LP working capital position. Negative = LP must fund operating losses.</t>
  </si>
  <si>
    <t xml:space="preserve">(2) Capital Calls (row 6) shown at GROSS deal purchase price ($24M ARR x 1.24 entry mult = $30M/deal).</t>
  </si>
  <si>
    <t xml:space="preserve">FEE DRAG COMPARISON</t>
  </si>
  <si>
    <t xml:space="preserve">Restated GP economics. Bonus pool REMOVED -- all operating margin flows to LPs.</t>
  </si>
  <si>
    <t xml:space="preserve">AS PRESENTED (mgmt fee + carry only -- excludes team comp &amp; bonus pool)</t>
  </si>
  <si>
    <t xml:space="preserve">Press Fund I</t>
  </si>
  <si>
    <t xml:space="preserve">Traditional 2/20</t>
  </si>
  <si>
    <t xml:space="preserve">LP Savings</t>
  </si>
  <si>
    <t xml:space="preserve">Management Fees (2%/yr thru deployment)</t>
  </si>
  <si>
    <t xml:space="preserve">Total Fee Drag</t>
  </si>
  <si>
    <t xml:space="preserve">RESTATED  --  includes OpCo team comp and bonus pool as GP economics</t>
  </si>
  <si>
    <t xml:space="preserve">% of OpCo Team Comp treated as GP economics  (blue = adjustable input)</t>
  </si>
  <si>
    <t xml:space="preserve">LP-friendly view = 100%   |   GP-friendly view = 0%</t>
  </si>
  <si>
    <t xml:space="preserve">$mm over 15Y</t>
  </si>
  <si>
    <t xml:space="preserve">Management Fees (2%/yr thru deployment M18)</t>
  </si>
  <si>
    <t xml:space="preserve">OpCo Team Comp x allocation %</t>
  </si>
  <si>
    <t xml:space="preserve">Bonus Pool (REMOVED -- all margin to LP)</t>
  </si>
  <si>
    <t xml:space="preserve">Total GP Economics</t>
  </si>
  <si>
    <t xml:space="preserve">LP Net Distributions (15Y)</t>
  </si>
  <si>
    <t xml:space="preserve">n/a</t>
  </si>
  <si>
    <t xml:space="preserve">Total Fund Cash (LP + GP)</t>
  </si>
  <si>
    <t xml:space="preserve">GP Take as % of Total Fund Cash</t>
  </si>
  <si>
    <t xml:space="preserve">Restated Total GP Economics vs "As Presented"</t>
  </si>
  <si>
    <t xml:space="preserve">1. OpCo Team Comp is the Press operating team (CEO/CFO/COO/CPO/CTO/CRO + 14 operators)</t>
  </si>
  <si>
    <t xml:space="preserve">   charged to portco P&amp;L. In a traditional 2/20 fund the same team is paid from the mgmt fee.</t>
  </si>
  <si>
    <t xml:space="preserve">   The 50% default assumes half of team comp is legitimate OpCo opex (lean CEO/CFO that any</t>
  </si>
  <si>
    <t xml:space="preserve">   owner would pay) and half is GP overhead being charged through OpCos.</t>
  </si>
  <si>
    <t xml:space="preserve">2. Bonus Pool = 100% of EBITDA margin above the 62.5% threshold flows to the team. This is</t>
  </si>
  <si>
    <t xml:space="preserve">   carry in OpEx clothing and is not disclosed as carry in the standard waterfall.</t>
  </si>
  <si>
    <t xml:space="preserve">3. Traditional 2/20 column uses Press models own assumption ($73.5M carry over 10Y).</t>
  </si>
  <si>
    <t xml:space="preserve">4. GP Take ratio includes mgmt fee + team comp x allocation % + bonus pool + carry, divided</t>
  </si>
  <si>
    <t xml:space="preserve">   by (LP net distributions + GP take).</t>
  </si>
  <si>
    <t xml:space="preserve">DEAL PIPELINE ASSUMPTIONS</t>
  </si>
  <si>
    <t xml:space="preserve">INPUT / reference — funnel &amp; timeline assumptions. Not an engine output.</t>
  </si>
  <si>
    <t xml:space="preserve">PIPELINE FUNNEL</t>
  </si>
  <si>
    <t xml:space="preserve">Target Universe (B2B SaaS $20-35M ARR)</t>
  </si>
  <si>
    <t xml:space="preserve">PitchBook, Grata, broker network, direct</t>
  </si>
  <si>
    <t xml:space="preserve">Initial Screen (fit buy box)</t>
  </si>
  <si>
    <t xml:space="preserve">25% pass rate on vertical, size, geography</t>
  </si>
  <si>
    <t xml:space="preserve">IOI Submitted</t>
  </si>
  <si>
    <t xml:space="preserve">30% of screened targets get an IOI</t>
  </si>
  <si>
    <t xml:space="preserve">LOI Signed</t>
  </si>
  <si>
    <t xml:space="preserve">~50% IOI-to-LOI conversion</t>
  </si>
  <si>
    <t xml:space="preserve">Closed</t>
  </si>
  <si>
    <t xml:space="preserve">~63% LOI-to-close (1 falls out of diligence, 2 repriced)</t>
  </si>
  <si>
    <t xml:space="preserve">Close Rate (universe to close)</t>
  </si>
  <si>
    <t xml:space="preserve">2.5%</t>
  </si>
  <si>
    <t xml:space="preserve">Typical for acquisition funds at this scale</t>
  </si>
  <si>
    <t xml:space="preserve">SOURCING CHANNELS</t>
  </si>
  <si>
    <t xml:space="preserve">Sell-Side M&amp;A Advisory</t>
  </si>
  <si>
    <t xml:space="preserve">Founders Advisors, Kroll, Vista Point, Atlas Technology Group</t>
  </si>
  <si>
    <t xml:space="preserve">SaaS Lenders (distressed portfolios)</t>
  </si>
  <si>
    <t xml:space="preserve">Hercules, Bigfoot, Founderpath, RevTek</t>
  </si>
  <si>
    <t xml:space="preserve">PE Secondary Market</t>
  </si>
  <si>
    <t xml:space="preserve">Firms exiting leveraged SaaS positions in higher-rate environment</t>
  </si>
  <si>
    <t xml:space="preserve">Direct Outreach</t>
  </si>
  <si>
    <t xml:space="preserve">Bootstrapped founders ready to exit, identified via Grata/PitchBook</t>
  </si>
  <si>
    <t xml:space="preserve">Platform Registration</t>
  </si>
  <si>
    <t xml:space="preserve">Acquire.com, Empire Flippers, Axial</t>
  </si>
  <si>
    <t xml:space="preserve">DEPLOYMENT TIMELINE</t>
  </si>
  <si>
    <t xml:space="preserve">Fund Start</t>
  </si>
  <si>
    <t xml:space="preserve">Month 1</t>
  </si>
  <si>
    <t xml:space="preserve">CEO + CFO only</t>
  </si>
  <si>
    <t xml:space="preserve">Months 1-3</t>
  </si>
  <si>
    <t xml:space="preserve">Deal 1 Close</t>
  </si>
  <si>
    <t xml:space="preserve">Month 4</t>
  </si>
  <si>
    <t xml:space="preserve">Deal 2 Close</t>
  </si>
  <si>
    <t xml:space="preserve">Month 7-8</t>
  </si>
  <si>
    <t xml:space="preserve">Deal 3 Close</t>
  </si>
  <si>
    <t xml:space="preserve">Month 10-12</t>
  </si>
  <si>
    <t xml:space="preserve">Deal 4 Close</t>
  </si>
  <si>
    <t xml:space="preserve">Month 12-14</t>
  </si>
  <si>
    <t xml:space="preserve">Deal 5 Close</t>
  </si>
  <si>
    <t xml:space="preserve">Month 14-16</t>
  </si>
  <si>
    <t xml:space="preserve">Full Team (20 people)</t>
  </si>
  <si>
    <t xml:space="preserve">Month 16</t>
  </si>
  <si>
    <t xml:space="preserve">Total Deployment Window</t>
  </si>
  <si>
    <t xml:space="preserve">~12 months first to last</t>
  </si>
  <si>
    <t xml:space="preserve">TAX EFFICIENCY  --  CORRECTED</t>
  </si>
  <si>
    <t xml:space="preserve">Original tab conflated LP operating income (ORDINARY) with GP carry (LTCG-eligible). Corrected below.</t>
  </si>
  <si>
    <t xml:space="preserve">NOT TAX ADVICE. Consult your tax advisor.</t>
  </si>
  <si>
    <t xml:space="preserve">LP TAX TREATMENT</t>
  </si>
  <si>
    <t xml:space="preserve">Cash flow type</t>
  </si>
  <si>
    <t xml:space="preserve">Federal rate</t>
  </si>
  <si>
    <t xml:space="preserve">Notes</t>
  </si>
  <si>
    <t xml:space="preserve">Operating distributions Y1-9</t>
  </si>
  <si>
    <t xml:space="preserve">40.8%</t>
  </si>
  <si>
    <t xml:space="preserve">37% ordinary + 3.8% NIIT. PASS-THROUGH K-1. NOT LTCG.</t>
  </si>
  <si>
    <t xml:space="preserve">Exit proceeds Y10 (held &gt;1yr)</t>
  </si>
  <si>
    <t xml:space="preserve">23.8%</t>
  </si>
  <si>
    <t xml:space="preserve">20% LTCG + 3.8% NIIT. ONLY portion attributable to capital gain.</t>
  </si>
  <si>
    <t xml:space="preserve">$$ split: ~80% ord / 20% LTCG</t>
  </si>
  <si>
    <t xml:space="preserve">For 50% Recycle base case: ~$700M ordinary (Y1-9 + Y11-15) vs ~$120M LTCG (Y10 exit).</t>
  </si>
  <si>
    <t xml:space="preserve">QBI Sec 199A</t>
  </si>
  <si>
    <t xml:space="preserve">Likely NOT eligible</t>
  </si>
  <si>
    <t xml:space="preserve">SaaS / software services are NOT a Specified Service Trade or Business but the trade-or-business test is fact-specific. Do not rely on 20% deduction.</t>
  </si>
  <si>
    <t xml:space="preserve">GP TAX TREATMENT</t>
  </si>
  <si>
    <t xml:space="preserve">Carry (3-yr+ hold)</t>
  </si>
  <si>
    <t xml:space="preserve">20% LTCG + 3.8% NIIT. Applies to GP carry only, NOT LP cash.</t>
  </si>
  <si>
    <t xml:space="preserve">Management fees</t>
  </si>
  <si>
    <t xml:space="preserve">37%</t>
  </si>
  <si>
    <t xml:space="preserve">Ordinary income to GP entity.</t>
  </si>
  <si>
    <t xml:space="preserve">Team comp / bonus pool</t>
  </si>
  <si>
    <t xml:space="preserve">Ordinary W-2 income to operators.</t>
  </si>
  <si>
    <t xml:space="preserve">EFFECTIVE LP AFTER-TAX YIELD</t>
  </si>
  <si>
    <t xml:space="preserve">Scenario</t>
  </si>
  <si>
    <t xml:space="preserve">Pre-Tax DPI</t>
  </si>
  <si>
    <t xml:space="preserve">Post-Tax DPI*</t>
  </si>
  <si>
    <t xml:space="preserve">Assumes 80% ord (40.8%) / 20% LTCG (23.8%) blended profit rate. Capital return ($150M) not taxed.</t>
  </si>
  <si>
    <t xml:space="preserve">* Post-tax assumes ~80% of profit is ordinary K-1 (40.8% rate) and ~20% is exit LTCG (23.8% rate).</t>
  </si>
  <si>
    <t xml:space="preserve">State tax NOT included. CA adds 13.3%. Pass-through entities may allow SALT cap workarounds.</t>
  </si>
  <si>
    <t xml:space="preserve">For LP, the "carried interest 23.8%" framing in the original tab was MISLEADING -- that rate applies to GP carry, not LP cash.</t>
  </si>
  <si>
    <t xml:space="preserve">For high-bracket CA LP: effective profit rate ~54% blended. After-tax DPI roughly 0.46x of pre-tax profit + capital.</t>
  </si>
  <si>
    <t xml:space="preserve">PRESS CAPITAL FUND I  --  CAP TABLE</t>
  </si>
  <si>
    <t xml:space="preserve">WATERFALL BY TIER</t>
  </si>
  <si>
    <t xml:space="preserve">Phase</t>
  </si>
  <si>
    <t xml:space="preserve">Trigger</t>
  </si>
  <si>
    <t xml:space="preserve">LP Share</t>
  </si>
  <si>
    <t xml:space="preserve">GP Share</t>
  </si>
  <si>
    <t xml:space="preserve">Return of Capital</t>
  </si>
  <si>
    <t xml:space="preserve">Until LPs receive 1x</t>
  </si>
  <si>
    <t xml:space="preserve">100%</t>
  </si>
  <si>
    <t xml:space="preserve">0%</t>
  </si>
  <si>
    <t xml:space="preserve">Preferred Return</t>
  </si>
  <si>
    <t xml:space="preserve">10% on unreturned capital</t>
  </si>
  <si>
    <t xml:space="preserve">Carry</t>
  </si>
  <si>
    <t xml:space="preserve">After RoC + pref satisfied</t>
  </si>
  <si>
    <t xml:space="preserve">80%</t>
  </si>
  <si>
    <t xml:space="preserve">20%</t>
  </si>
  <si>
    <t xml:space="preserve">LP RETURNS BY COMMITMENT (Fund I -- 50% Recycle)</t>
  </si>
  <si>
    <t xml:space="preserve">10Y Cash Back</t>
  </si>
  <si>
    <t xml:space="preserve">15Y Cash Back</t>
  </si>
  <si>
    <t xml:space="preserve">15Y MOIC</t>
  </si>
  <si>
    <t xml:space="preserve">$5mm</t>
  </si>
  <si>
    <t xml:space="preserve">$10mm</t>
  </si>
  <si>
    <t xml:space="preserve">$15mm</t>
  </si>
  <si>
    <t xml:space="preserve">$20mm</t>
  </si>
  <si>
    <t xml:space="preserve">$25mm</t>
  </si>
  <si>
    <t xml:space="preserve">FUND I  --  SOURCES &amp; USES (RESTATED)</t>
  </si>
  <si>
    <t xml:space="preserve">Per-deal ARR capped at $24M; 1.24x entry; 50/50 sev split.</t>
  </si>
  <si>
    <t xml:space="preserve">SOURCES</t>
  </si>
  <si>
    <t xml:space="preserve">LP Capital Commitments</t>
  </si>
  <si>
    <t xml:space="preserve">Total Sources</t>
  </si>
  <si>
    <t xml:space="preserve">USES</t>
  </si>
  <si>
    <t xml:space="preserve">Gross Deal Purchases (4 initial deals, $100M ARR, blended 1.50x)</t>
  </si>
  <si>
    <t xml:space="preserve">$148.8M auto-derived</t>
  </si>
  <si>
    <t xml:space="preserve">Severance Discount (seller 50% share, 4 deals)</t>
  </si>
  <si>
    <t xml:space="preserve">auto from ARR x 0.1154 x 50%</t>
  </si>
  <si>
    <t xml:space="preserve">Net Capital Deployed</t>
  </si>
  <si>
    <t xml:space="preserve">Management Fee (2%/yr thru M18 -- paid from operating cash, memo only)</t>
  </si>
  <si>
    <t xml:space="preserve">Partnership Expenses Reserve (15Y)</t>
  </si>
  <si>
    <t xml:space="preserve">$333K/yr x 15Y for audit/legal/D&amp;O/admin</t>
  </si>
  <si>
    <t xml:space="preserve">Broken Deal Cost Reserve</t>
  </si>
  <si>
    <t xml:space="preserve">Buffer for diligence costs on deals that don't close</t>
  </si>
  <si>
    <t xml:space="preserve">Total Uses</t>
  </si>
  <si>
    <t xml:space="preserve">Cushion (Sources - Uses)</t>
  </si>
  <si>
    <t xml:space="preserve">TIGHT -- see Note 2-3</t>
  </si>
  <si>
    <t xml:space="preserve">Memo: mgmt fee $4.5M is deducted from distributable operating cash in the engine,</t>
  </si>
  <si>
    <t xml:space="preserve">not drawn from committed capital. Recycled deal #5 ($35.0M net) funded from retained cash.</t>
  </si>
  <si>
    <t xml:space="preserve">1. Seller-funded severance (50/50 split) nets purchase prices down $5.77M.</t>
  </si>
  <si>
    <t xml:space="preserve">2. Reserves: $5M partnership expenses (15Y) + $0.5M broken-deal.</t>
  </si>
  <si>
    <t xml:space="preserve">QUARTERLY LP DISTRIBUTIONS  |  NO RECYCLING  (LIVE)</t>
  </si>
  <si>
    <t xml:space="preserve">Quarterly distributable from _Engine_NR. LP cash = quarterly waterfall approximation (annual waterfall split pro-rata by quarterly dist).</t>
  </si>
  <si>
    <t xml:space="preserve">Quarter</t>
  </si>
  <si>
    <t xml:space="preserve">Distributable</t>
  </si>
  <si>
    <t xml:space="preserve">LP Cash</t>
  </si>
  <si>
    <t xml:space="preserve">Cum LP</t>
  </si>
  <si>
    <t xml:space="preserve">Cum GP</t>
  </si>
  <si>
    <t xml:space="preserve">Y1 Q1</t>
  </si>
  <si>
    <t xml:space="preserve">Y1 Q2</t>
  </si>
  <si>
    <t xml:space="preserve">Y1 Q3</t>
  </si>
  <si>
    <t xml:space="preserve">Y1 Q4</t>
  </si>
  <si>
    <t xml:space="preserve">Y2 Q1</t>
  </si>
  <si>
    <t xml:space="preserve">Y2 Q2</t>
  </si>
  <si>
    <t xml:space="preserve">Y2 Q3</t>
  </si>
  <si>
    <t xml:space="preserve">Y2 Q4</t>
  </si>
  <si>
    <t xml:space="preserve">Y3 Q1</t>
  </si>
  <si>
    <t xml:space="preserve">Y3 Q2</t>
  </si>
  <si>
    <t xml:space="preserve">Y3 Q3</t>
  </si>
  <si>
    <t xml:space="preserve">Y3 Q4</t>
  </si>
  <si>
    <t xml:space="preserve">Y4 Q1</t>
  </si>
  <si>
    <t xml:space="preserve">Y4 Q2</t>
  </si>
  <si>
    <t xml:space="preserve">Y4 Q3</t>
  </si>
  <si>
    <t xml:space="preserve">Y4 Q4</t>
  </si>
  <si>
    <t xml:space="preserve">Y5 Q1</t>
  </si>
  <si>
    <t xml:space="preserve">Y5 Q2</t>
  </si>
  <si>
    <t xml:space="preserve">Y5 Q3</t>
  </si>
  <si>
    <t xml:space="preserve">Y5 Q4</t>
  </si>
  <si>
    <t xml:space="preserve">Y6 Q1</t>
  </si>
  <si>
    <t xml:space="preserve">Y6 Q2</t>
  </si>
  <si>
    <t xml:space="preserve">Y6 Q3</t>
  </si>
  <si>
    <t xml:space="preserve">Y6 Q4</t>
  </si>
  <si>
    <t xml:space="preserve">Y7 Q1</t>
  </si>
  <si>
    <t xml:space="preserve">Y7 Q2</t>
  </si>
  <si>
    <t xml:space="preserve">Y7 Q3</t>
  </si>
  <si>
    <t xml:space="preserve">Y7 Q4</t>
  </si>
  <si>
    <t xml:space="preserve">Y8 Q1</t>
  </si>
  <si>
    <t xml:space="preserve">Y8 Q2</t>
  </si>
  <si>
    <t xml:space="preserve">Y8 Q3</t>
  </si>
  <si>
    <t xml:space="preserve">Y8 Q4</t>
  </si>
  <si>
    <t xml:space="preserve">Y9 Q1</t>
  </si>
  <si>
    <t xml:space="preserve">Y9 Q2</t>
  </si>
  <si>
    <t xml:space="preserve">Y9 Q3</t>
  </si>
  <si>
    <t xml:space="preserve">Y9 Q4</t>
  </si>
  <si>
    <t xml:space="preserve">Y10 Q1</t>
  </si>
  <si>
    <t xml:space="preserve">Y10 Q2</t>
  </si>
  <si>
    <t xml:space="preserve">Y10 Q3</t>
  </si>
  <si>
    <t xml:space="preserve">Y10 Q4</t>
  </si>
  <si>
    <t xml:space="preserve">Y11 Q1</t>
  </si>
  <si>
    <t xml:space="preserve">Y11 Q2</t>
  </si>
  <si>
    <t xml:space="preserve">Y11 Q3</t>
  </si>
  <si>
    <t xml:space="preserve">Y11 Q4</t>
  </si>
  <si>
    <t xml:space="preserve">Y12 Q1</t>
  </si>
  <si>
    <t xml:space="preserve">Y12 Q2</t>
  </si>
  <si>
    <t xml:space="preserve">Y12 Q3</t>
  </si>
  <si>
    <t xml:space="preserve">Y12 Q4</t>
  </si>
  <si>
    <t xml:space="preserve">Y13 Q1</t>
  </si>
  <si>
    <t xml:space="preserve">Y13 Q2</t>
  </si>
  <si>
    <t xml:space="preserve">Y13 Q3</t>
  </si>
  <si>
    <t xml:space="preserve">Y13 Q4</t>
  </si>
  <si>
    <t xml:space="preserve">Y14 Q1</t>
  </si>
  <si>
    <t xml:space="preserve">Y14 Q2</t>
  </si>
  <si>
    <t xml:space="preserve">Y14 Q3</t>
  </si>
  <si>
    <t xml:space="preserve">Y14 Q4</t>
  </si>
  <si>
    <t xml:space="preserve">Y15 Q1</t>
  </si>
  <si>
    <t xml:space="preserve">Y15 Q2</t>
  </si>
  <si>
    <t xml:space="preserve">Y15 Q3</t>
  </si>
  <si>
    <t xml:space="preserve">Y15 Q4</t>
  </si>
  <si>
    <t xml:space="preserve">PORTFOLIO DASHBOARD  --  FUND I (50% Recycle)</t>
  </si>
  <si>
    <t xml:space="preserve">$150M, 50% recycle. Flat 80/20 + 10% pref, no bonus pool, no exit. Live from _Engine_R50.</t>
  </si>
  <si>
    <t xml:space="preserve">FUND I HEADLINE (50% Recycle)</t>
  </si>
  <si>
    <t xml:space="preserve">Metric</t>
  </si>
  <si>
    <t xml:space="preserve">Value</t>
  </si>
  <si>
    <t xml:space="preserve">vs Bull (GP claim)</t>
  </si>
  <si>
    <t xml:space="preserve">15Y DPI</t>
  </si>
  <si>
    <t xml:space="preserve">15Y IRR</t>
  </si>
  <si>
    <t xml:space="preserve">15Y LP Cash ($mm)</t>
  </si>
  <si>
    <t xml:space="preserve">15Y GP Carry ($mm)</t>
  </si>
  <si>
    <t xml:space="preserve">10Y DPI</t>
  </si>
  <si>
    <t xml:space="preserve">Capital Deployed ($mm)</t>
  </si>
  <si>
    <t xml:space="preserve">GP Take % of Fund Cash</t>
  </si>
  <si>
    <t xml:space="preserve">SCENARIO MATRIX  (Bull/Base/Bear x Recycle)</t>
  </si>
  <si>
    <t xml:space="preserve">NOTE: matrix below shows CURRENT engine output, not all 9 combinations. Toggle Tab 1 B136 to see Base/Bear.</t>
  </si>
  <si>
    <t xml:space="preserve">Scenario \ Recycle</t>
  </si>
  <si>
    <t xml:space="preserve">Current scenario DPI</t>
  </si>
  <si>
    <t xml:space="preserve">Current scenario IRR</t>
  </si>
  <si>
    <t xml:space="preserve">Current scenario LP Cash ($mm)</t>
  </si>
  <si>
    <t xml:space="preserve">STRUCTURE</t>
  </si>
  <si>
    <t xml:space="preserve">$150M. 5 companies: 4 initial ($100M ARR, blended 1.50x) + 1 recycled ($18M ARR @ 2.0x, closes M32).</t>
  </si>
  <si>
    <t xml:space="preserve">50% recycling capped at 120% deployment ($179.2M = 119.5%). Window = 2yrs post full deployment (M40); done in practice M32.</t>
  </si>
  <si>
    <t xml:space="preserve">Flat 80/20 + 10% pref. No tiers, no bonus pool, no exit. Mgmt fee 2%/yr thru M18 ($4.5M), then 0%. 2% GP commit.</t>
  </si>
  <si>
    <t xml:space="preserve">PRESS OPERATIONS LLC  --  OPERATING BUDGET</t>
  </si>
  <si>
    <t xml:space="preserve">INPUT — role salary schedule. This loaded total ($7,637K/yr) DRIVES engine team comp (via Tab 26 row 28).</t>
  </si>
  <si>
    <t xml:space="preserve">TEAM (20 people at steady state)</t>
  </si>
  <si>
    <t xml:space="preserve">Role</t>
  </si>
  <si>
    <t xml:space="preserve">Base ($K)</t>
  </si>
  <si>
    <t xml:space="preserve">Loaded ($K)</t>
  </si>
  <si>
    <t xml:space="preserve">CEO</t>
  </si>
  <si>
    <t xml:space="preserve">CFO</t>
  </si>
  <si>
    <t xml:space="preserve">COO</t>
  </si>
  <si>
    <t xml:space="preserve">CPO</t>
  </si>
  <si>
    <t xml:space="preserve">CTO</t>
  </si>
  <si>
    <t xml:space="preserve">CRO</t>
  </si>
  <si>
    <t xml:space="preserve">Sr Op 1</t>
  </si>
  <si>
    <t xml:space="preserve">Sr Op 2</t>
  </si>
  <si>
    <t xml:space="preserve">Sr Op 3</t>
  </si>
  <si>
    <t xml:space="preserve">Sr Op 4</t>
  </si>
  <si>
    <t xml:space="preserve">Sr Op 5</t>
  </si>
  <si>
    <t xml:space="preserve">Jr Op 1</t>
  </si>
  <si>
    <t xml:space="preserve">Jr Op 2</t>
  </si>
  <si>
    <t xml:space="preserve">Jr Op 3</t>
  </si>
  <si>
    <t xml:space="preserve">Jr Op 4</t>
  </si>
  <si>
    <t xml:space="preserve">Jr Op 5</t>
  </si>
  <si>
    <t xml:space="preserve">Jr Op 6</t>
  </si>
  <si>
    <t xml:space="preserve">Jr Op 7</t>
  </si>
  <si>
    <t xml:space="preserve">Jr Op 8</t>
  </si>
  <si>
    <t xml:space="preserve">Jr Op 9</t>
  </si>
  <si>
    <t xml:space="preserve">Total loaded = base x 1.30 (30% fully-weighted overhead).</t>
  </si>
  <si>
    <t xml:space="preserve">Engine team comp = this total, ramped (Y1 45%, Y2 99%, Y3+ 100%). See Tab 26 row 28.</t>
  </si>
  <si>
    <t xml:space="preserve">RECYCLING SCHEDULE  --  retained cash &amp; recycled deal deployment (50% recycle)</t>
  </si>
  <si>
    <t xml:space="preserve">Retained cash (50% of distributable) vs recycled deployment. Deal #5 closes M32; residual releases M33.</t>
  </si>
  <si>
    <t xml:space="preserve">Retained Cash</t>
  </si>
  <si>
    <t xml:space="preserve">Recycled Deals</t>
  </si>
  <si>
    <t xml:space="preserve">Net Balance</t>
  </si>
  <si>
    <t xml:space="preserve">TEAM COMPENSATION BY ROLE  --  FUND LIFE</t>
  </si>
  <si>
    <t xml:space="preserve">Base + 30% overhead + bonus (pro-rata by salary $). Step-ups ratchet at $100M ARR. All figures in $K.</t>
  </si>
  <si>
    <t xml:space="preserve">INPUT — row 28 "Total Loaded" feeds the engines (D28:R28). Now DERIVED from Tab 23 role schedule (loaded) with hiring ramp.</t>
  </si>
  <si>
    <t xml:space="preserve">Start</t>
  </si>
  <si>
    <t xml:space="preserve">Sr Operator 1</t>
  </si>
  <si>
    <t xml:space="preserve">Sr Operator 2</t>
  </si>
  <si>
    <t xml:space="preserve">Sr Operator 3</t>
  </si>
  <si>
    <t xml:space="preserve">Sr Operator 4</t>
  </si>
  <si>
    <t xml:space="preserve">Sr Operator 5</t>
  </si>
  <si>
    <t xml:space="preserve">Jr Operator 1</t>
  </si>
  <si>
    <t xml:space="preserve">Jr Operator 2</t>
  </si>
  <si>
    <t xml:space="preserve">Jr Operator 3</t>
  </si>
  <si>
    <t xml:space="preserve">Jr Operator 4</t>
  </si>
  <si>
    <t xml:space="preserve">Jr Operator 5</t>
  </si>
  <si>
    <t xml:space="preserve">Jr Operator 6</t>
  </si>
  <si>
    <t xml:space="preserve">Jr Operator 7</t>
  </si>
  <si>
    <t xml:space="preserve">Jr Operator 8</t>
  </si>
  <si>
    <t xml:space="preserve">Jr Operator 9</t>
  </si>
  <si>
    <t xml:space="preserve">SUMMARY ($K)</t>
  </si>
  <si>
    <t xml:space="preserve">Total Base (stepped)</t>
  </si>
  <si>
    <t xml:space="preserve">Total Loaded (+ 30%)</t>
  </si>
  <si>
    <t xml:space="preserve">Bonus Pool</t>
  </si>
  <si>
    <t xml:space="preserve">Total Compensation</t>
  </si>
  <si>
    <t xml:space="preserve">Steady-state = Tab 23 loaded schedule ($7,637K/yr); ramp Y1 45%, Y2 99%.</t>
  </si>
  <si>
    <t xml:space="preserve">ARR Step Multiplier</t>
  </si>
  <si>
    <t xml:space="preserve">1.0x</t>
  </si>
  <si>
    <t xml:space="preserve">1.5x</t>
  </si>
  <si>
    <t xml:space="preserve">Portfolio Revenue ($mm)</t>
  </si>
  <si>
    <t xml:space="preserve">Headcount</t>
  </si>
  <si>
    <t xml:space="preserve">BONUS ALLOCATION BY ROLE ($K)</t>
  </si>
  <si>
    <t xml:space="preserve">GOVERNANCE &amp; FUND TERMS</t>
  </si>
  <si>
    <t xml:space="preserve">FUND TERMS</t>
  </si>
  <si>
    <t xml:space="preserve">Fund size</t>
  </si>
  <si>
    <t xml:space="preserve">$150M</t>
  </si>
  <si>
    <t xml:space="preserve">Structure</t>
  </si>
  <si>
    <t xml:space="preserve">Permanent hold; quarterly cash distributions; no exit assumed</t>
  </si>
  <si>
    <t xml:space="preserve">Flat 80/20 after 1x return of capital + 10% preferred</t>
  </si>
  <si>
    <t xml:space="preserve">Management fee</t>
  </si>
  <si>
    <t xml:space="preserve">2%/yr through deployment (~M18), then 0%</t>
  </si>
  <si>
    <t xml:space="preserve">GP commitment</t>
  </si>
  <si>
    <t xml:space="preserve">2% of fund ($3.0M)</t>
  </si>
  <si>
    <t xml:space="preserve">None -- 100% of operating margin to investors</t>
  </si>
  <si>
    <t xml:space="preserve">Recycling</t>
  </si>
  <si>
    <t xml:space="preserve">50% of distributable; capped at 120% of commitments; window = 2 yrs post full deployment (M40)</t>
  </si>
  <si>
    <t xml:space="preserve">Leverage</t>
  </si>
  <si>
    <t xml:space="preserve">None</t>
  </si>
  <si>
    <t xml:space="preserve">TRACK RECORD</t>
  </si>
  <si>
    <t xml:space="preserve">Prior deals</t>
  </si>
  <si>
    <t xml:space="preserve">3 completed (buy-fix-hold)</t>
  </si>
  <si>
    <t xml:space="preserve">Most recent deal IRR</t>
  </si>
  <si>
    <t xml:space="preserve">36% (realized)</t>
  </si>
  <si>
    <t xml:space="preserve">Operating record</t>
  </si>
  <si>
    <t xml:space="preserve">3 years at 75% net margin</t>
  </si>
  <si>
    <t xml:space="preserve">GP commit</t>
  </si>
  <si>
    <t xml:space="preserve">2% of fund = $3.0M</t>
  </si>
  <si>
    <t xml:space="preserve">Full governance terms (key person, clawback, LPAC, valuation policy, reporting, MFN) are set out in the LPA.</t>
  </si>
  <si>
    <t xml:space="preserve">AUTO-CALC ENGINE  --  50% Recycle (deals 1-9)</t>
  </si>
  <si>
    <t xml:space="preserve">Recycle% = 0.5. Recycled deals 6-9 INCLUDED.</t>
  </si>
  <si>
    <t xml:space="preserve">INPUTS PULLED FROM TAB 1</t>
  </si>
  <si>
    <t xml:space="preserve">PER-DEAL (deals 1-9)</t>
  </si>
  <si>
    <t xml:space="preserve">Recycle scenario</t>
  </si>
  <si>
    <t xml:space="preserve">50% Recycle (deals 1-9)</t>
  </si>
  <si>
    <t xml:space="preserve">NDR (uniform real)</t>
  </si>
  <si>
    <t xml:space="preserve">Deal #1</t>
  </si>
  <si>
    <t xml:space="preserve">Bonus threshold (% margin)</t>
  </si>
  <si>
    <t xml:space="preserve">Deal #2</t>
  </si>
  <si>
    <t xml:space="preserve">COGS rate</t>
  </si>
  <si>
    <t xml:space="preserve">Deal #3</t>
  </si>
  <si>
    <t xml:space="preserve">Vendor rate</t>
  </si>
  <si>
    <t xml:space="preserve">Deal #4</t>
  </si>
  <si>
    <t xml:space="preserve">Corp Alloc rate</t>
  </si>
  <si>
    <t xml:space="preserve">Deal #5</t>
  </si>
  <si>
    <t xml:space="preserve">Pref rate (annual)</t>
  </si>
  <si>
    <t xml:space="preserve">Deal #6</t>
  </si>
  <si>
    <t xml:space="preserve">LP split tier 2 (1x-2x)</t>
  </si>
  <si>
    <t xml:space="preserve">Deal #7</t>
  </si>
  <si>
    <t xml:space="preserve">LP split tier 3 (2x-3x)</t>
  </si>
  <si>
    <t xml:space="preserve">Deal #8</t>
  </si>
  <si>
    <t xml:space="preserve">LP split tier 4 (&gt;3x)</t>
  </si>
  <si>
    <t xml:space="preserve">Deal #9</t>
  </si>
  <si>
    <t xml:space="preserve">Mgmt fee total</t>
  </si>
  <si>
    <t xml:space="preserve">Severance per FTE ($)</t>
  </si>
  <si>
    <t xml:space="preserve">Press severance share</t>
  </si>
  <si>
    <t xml:space="preserve">FTE per OpCo</t>
  </si>
  <si>
    <t xml:space="preserve">Exit month</t>
  </si>
  <si>
    <t xml:space="preserve">Exit multiple (x ARR)</t>
  </si>
  <si>
    <t xml:space="preserve">Include exit in waterfall</t>
  </si>
  <si>
    <t xml:space="preserve">Fund commitment ($mm)</t>
  </si>
  <si>
    <t xml:space="preserve">Recycle % of distributable</t>
  </si>
  <si>
    <t xml:space="preserve">Recycling period (months)</t>
  </si>
  <si>
    <t xml:space="preserve">M</t>
  </si>
  <si>
    <t xml:space="preserve">Mgmt Fee</t>
  </si>
  <si>
    <t xml:space="preserve">Team Comp</t>
  </si>
  <si>
    <t xml:space="preserve">Legacy HC</t>
  </si>
  <si>
    <t xml:space="preserve">D1 ARR</t>
  </si>
  <si>
    <t xml:space="preserve">D2 ARR</t>
  </si>
  <si>
    <t xml:space="preserve">D3 ARR</t>
  </si>
  <si>
    <t xml:space="preserve">D4 ARR</t>
  </si>
  <si>
    <t xml:space="preserve">D5 ARR</t>
  </si>
  <si>
    <t xml:space="preserve">D6 ARR</t>
  </si>
  <si>
    <t xml:space="preserve">D7 ARR</t>
  </si>
  <si>
    <t xml:space="preserve">D8 ARR</t>
  </si>
  <si>
    <t xml:space="preserve">D9 ARR</t>
  </si>
  <si>
    <t xml:space="preserve">Port ARR</t>
  </si>
  <si>
    <t xml:space="preserve">Vendor</t>
  </si>
  <si>
    <t xml:space="preserve">Corp Alloc</t>
  </si>
  <si>
    <t xml:space="preserve">Pre-Bonus EBITDA</t>
  </si>
  <si>
    <t xml:space="preserve">Dist Pre-Retain</t>
  </si>
  <si>
    <t xml:space="preserve">Retained</t>
  </si>
  <si>
    <t xml:space="preserve">Dist Post-Retain</t>
  </si>
  <si>
    <t xml:space="preserve">Cum Dist</t>
  </si>
  <si>
    <t xml:space="preserve">ANNUAL ROLLUP</t>
  </si>
  <si>
    <t xml:space="preserve">Dist Post</t>
  </si>
  <si>
    <t xml:space="preserve">Exit Proceeds</t>
  </si>
  <si>
    <t xml:space="preserve">Total Distributable</t>
  </si>
  <si>
    <t xml:space="preserve">WATERFALL</t>
  </si>
  <si>
    <t xml:space="preserve">Annual Dist</t>
  </si>
  <si>
    <t xml:space="preserve">Unret BoY</t>
  </si>
  <si>
    <t xml:space="preserve">Pref Owed</t>
  </si>
  <si>
    <t xml:space="preserve">Cap Paid</t>
  </si>
  <si>
    <t xml:space="preserve">Pref Paid</t>
  </si>
  <si>
    <t xml:space="preserve">LP Profit</t>
  </si>
  <si>
    <t xml:space="preserve">GP Profit</t>
  </si>
  <si>
    <t xml:space="preserve">LP Cash Yr</t>
  </si>
  <si>
    <t xml:space="preserve">GP Carry Yr</t>
  </si>
  <si>
    <t xml:space="preserve">SUMMARY</t>
  </si>
  <si>
    <t xml:space="preserve">15Y DPI / MOIC</t>
  </si>
  <si>
    <t xml:space="preserve">10Y LP Cash ($mm)</t>
  </si>
  <si>
    <t xml:space="preserve">10Y DPI / MOIC</t>
  </si>
  <si>
    <t xml:space="preserve">15Y Bonus Pool Total</t>
  </si>
  <si>
    <t xml:space="preserve">15Y Team Comp Total</t>
  </si>
  <si>
    <t xml:space="preserve">Yr</t>
  </si>
  <si>
    <t xml:space="preserve">LP Net Cash</t>
  </si>
  <si>
    <t xml:space="preserve">10Y IRR</t>
  </si>
  <si>
    <t xml:space="preserve">ESCALATING WATERFALL  (Tier 2: 1-2x 80/20; Tier 3: 2-3x 75/25; Tier 4: &gt;3x 70/30)</t>
  </si>
  <si>
    <t xml:space="preserve">Avail Profit</t>
  </si>
  <si>
    <t xml:space="preserve">Start Cum LP</t>
  </si>
  <si>
    <t xml:space="preserve">T2 Profit</t>
  </si>
  <si>
    <t xml:space="preserve">T3 Profit</t>
  </si>
  <si>
    <t xml:space="preserve">T4 Profit</t>
  </si>
  <si>
    <t xml:space="preserve">ESCALATING SUMMARY</t>
  </si>
  <si>
    <t xml:space="preserve">15Y LP Cash (Esc)</t>
  </si>
  <si>
    <t xml:space="preserve">15Y GP Carry (Esc)</t>
  </si>
  <si>
    <t xml:space="preserve">15Y DPI (Esc)</t>
  </si>
  <si>
    <t xml:space="preserve">Delta GP Carry (Esc - Std)</t>
  </si>
  <si>
    <t xml:space="preserve">CLAWBACK CHECK  (whole-fund waterfall applied to 15Y total)</t>
  </si>
  <si>
    <t xml:space="preserve">Total 15Y Distributable ($mm)</t>
  </si>
  <si>
    <t xml:space="preserve">1x Return of Capital</t>
  </si>
  <si>
    <t xml:space="preserve">10% pref (declining balance approx)</t>
  </si>
  <si>
    <t xml:space="preserve">Available profit</t>
  </si>
  <si>
    <t xml:space="preserve">Cum LP pre-profit</t>
  </si>
  <si>
    <t xml:space="preserve">Tier 2 profit (cum LP 1x-2x)</t>
  </si>
  <si>
    <t xml:space="preserve">Tier 3 profit (cum LP 2x-3x)</t>
  </si>
  <si>
    <t xml:space="preserve">Tier 4 profit (cum LP &gt;3x)</t>
  </si>
  <si>
    <t xml:space="preserve">LP entitled (RoC + pref + tiered profit)</t>
  </si>
  <si>
    <t xml:space="preserve">GP entitled (tiered carry)</t>
  </si>
  <si>
    <t xml:space="preserve">GP actual carry paid (escalating)</t>
  </si>
  <si>
    <t xml:space="preserve">CLAWBACK (GP must return)</t>
  </si>
  <si>
    <t xml:space="preserve">LP cash net of clawback ($mm)</t>
  </si>
  <si>
    <t xml:space="preserve">LP DPI net of clawback</t>
  </si>
  <si>
    <t xml:space="preserve">RECYCLING CASH SUFFICIENCY  (recycle % = 0.5)</t>
  </si>
  <si>
    <t xml:space="preserve">Milestone</t>
  </si>
  <si>
    <t xml:space="preserve">Cum Retained ($mm)</t>
  </si>
  <si>
    <t xml:space="preserve">Cum Funded ($mm)</t>
  </si>
  <si>
    <t xml:space="preserve">Balance available</t>
  </si>
  <si>
    <t xml:space="preserve">Status</t>
  </si>
  <si>
    <t xml:space="preserve">M24 (Deal #6 close)</t>
  </si>
  <si>
    <t xml:space="preserve">M28 (Deal #7 close)</t>
  </si>
  <si>
    <t xml:space="preserve">M32 (Deal #8 close)</t>
  </si>
  <si>
    <t xml:space="preserve">M36 (Deal #9 close)</t>
  </si>
  <si>
    <t xml:space="preserve">Total recycled capital needed</t>
  </si>
  <si>
    <t xml:space="preserve">Total retained M1-36</t>
  </si>
  <si>
    <t xml:space="preserve">Net shortfall if any</t>
  </si>
  <si>
    <t xml:space="preserve">DEBUG: Monthly Dist Pre-Retain Y2-Y3 sample</t>
  </si>
  <si>
    <t xml:space="preserve">Month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</si>
</sst>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$#,##0"/>
    <numFmt numFmtId="166" formatCode="#,##0"/>
    <numFmt numFmtId="167" formatCode="0.00\x"/>
    <numFmt numFmtId="168" formatCode="0.0%"/>
    <numFmt numFmtId="169" formatCode="0.0\x"/>
    <numFmt numFmtId="170" formatCode="\$#,##0.0"/>
    <numFmt numFmtId="171" formatCode="_(#,##0.0_);\(#,##0.0\)"/>
    <numFmt numFmtId="172" formatCode="\$#,##0.0\M"/>
    <numFmt numFmtId="173" formatCode="#,##0.0"/>
    <numFmt numFmtId="174" formatCode="\(#,##0.0\)"/>
    <numFmt numFmtId="175" formatCode="\+0%;\-0%"/>
    <numFmt numFmtId="176" formatCode="0.00%"/>
    <numFmt numFmtId="177" formatCode="General"/>
    <numFmt numFmtId="178" formatCode="0%"/>
    <numFmt numFmtId="179" formatCode="&quot;+$&quot;#,##0.0&quot;M understated&quot;"/>
    <numFmt numFmtId="180" formatCode="\$#,##0&quot;mm&quot;"/>
    <numFmt numFmtId="181" formatCode="_(#,##0_);\(#,##0\)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1"/>
      <color rgb="FF888888"/>
      <name val="Cambria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i val="true"/>
      <sz val="11"/>
      <color rgb="FF888888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8"/>
      <color rgb="FFBE8A42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Cambria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2E7D5B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i val="true"/>
      <sz val="11"/>
      <color rgb="FF1F3864"/>
      <name val="Cambria"/>
      <family val="0"/>
      <charset val="1"/>
    </font>
    <font>
      <b val="true"/>
      <i val="true"/>
      <sz val="11"/>
      <color rgb="FF2E7D5B"/>
      <name val="Cambria"/>
      <family val="0"/>
      <charset val="1"/>
    </font>
    <font>
      <b val="true"/>
      <sz val="9"/>
      <color rgb="FF1F3864"/>
      <name val="Arial"/>
      <family val="0"/>
      <charset val="1"/>
    </font>
    <font>
      <b val="true"/>
      <i val="true"/>
      <sz val="10"/>
      <color rgb="FF548235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1"/>
      <color rgb="FFBE8A42"/>
      <name val="Libre Franklin"/>
      <family val="0"/>
      <charset val="1"/>
    </font>
    <font>
      <b val="true"/>
      <sz val="11"/>
      <color rgb="FF2E7D5B"/>
      <name val="Cambria"/>
      <family val="0"/>
      <charset val="1"/>
    </font>
    <font>
      <b val="true"/>
      <sz val="11"/>
      <color rgb="FF0070C0"/>
      <name val="Cambria"/>
      <family val="0"/>
      <charset val="1"/>
    </font>
    <font>
      <b val="true"/>
      <sz val="14"/>
      <color rgb="FF1F3864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0F2B5C"/>
      </patternFill>
    </fill>
    <fill>
      <patternFill patternType="solid">
        <fgColor rgb="FFFFFFF0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EC"/>
        <bgColor rgb="FFFCE4D6"/>
      </patternFill>
    </fill>
    <fill>
      <patternFill patternType="solid">
        <fgColor rgb="FFF5F5F5"/>
        <bgColor rgb="FFF2F2F2"/>
      </patternFill>
    </fill>
    <fill>
      <patternFill patternType="solid">
        <fgColor rgb="FF0F2B5C"/>
        <bgColor rgb="FF1F3864"/>
      </patternFill>
    </fill>
    <fill>
      <patternFill patternType="solid">
        <fgColor rgb="FFFCE4D6"/>
        <bgColor rgb="FFFCE4EC"/>
      </patternFill>
    </fill>
    <fill>
      <patternFill patternType="solid">
        <fgColor rgb="FFEEF6FB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3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EEF6FB"/>
      <rgbColor rgb="FF660066"/>
      <rgbColor rgb="FFFF8080"/>
      <rgbColor rgb="FF0070C0"/>
      <rgbColor rgb="FFD9E1F2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F0"/>
      <rgbColor rgb="FFBFBFBF"/>
      <rgbColor rgb="FFFCE4EC"/>
      <rgbColor rgb="FFEDEDED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BE8A42"/>
      <rgbColor rgb="FF0F2B5C"/>
      <rgbColor rgb="FF2E7D5B"/>
      <rgbColor rgb="FF003300"/>
      <rgbColor rgb="FF333300"/>
      <rgbColor rgb="FF993300"/>
      <rgbColor rgb="FF993366"/>
      <rgbColor rgb="FF59595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40"/>
    <col collapsed="false" customWidth="true" hidden="false" outlineLevel="0" max="6" min="6" style="1" width="4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</row>
    <row r="2" customFormat="false" ht="15" hidden="false" customHeight="true" outlineLevel="0" collapsed="false">
      <c r="A2" s="4" t="s">
        <v>1</v>
      </c>
      <c r="D2" s="5"/>
    </row>
    <row r="4" customFormat="false" ht="15" hidden="false" customHeight="true" outlineLevel="0" collapsed="false">
      <c r="A4" s="6" t="s">
        <v>2</v>
      </c>
      <c r="B4" s="3"/>
      <c r="C4" s="3"/>
      <c r="D4" s="3"/>
      <c r="E4" s="3"/>
    </row>
    <row r="5" customFormat="false" ht="15" hidden="false" customHeight="true" outlineLevel="0" collapsed="false">
      <c r="A5" s="7" t="s">
        <v>3</v>
      </c>
      <c r="B5" s="8" t="n">
        <v>150000000</v>
      </c>
      <c r="C5" s="9"/>
    </row>
    <row r="6" customFormat="false" ht="15" hidden="false" customHeight="true" outlineLevel="0" collapsed="false">
      <c r="A6" s="10" t="s">
        <v>4</v>
      </c>
      <c r="B6" s="11" t="n">
        <v>5</v>
      </c>
    </row>
    <row r="7" customFormat="false" ht="15" hidden="false" customHeight="true" outlineLevel="0" collapsed="false">
      <c r="A7" s="10" t="s">
        <v>5</v>
      </c>
      <c r="B7" s="12" t="n">
        <v>25000000</v>
      </c>
    </row>
    <row r="8" customFormat="false" ht="15" hidden="false" customHeight="true" outlineLevel="0" collapsed="false">
      <c r="A8" s="10" t="s">
        <v>6</v>
      </c>
      <c r="B8" s="13" t="n">
        <f aca="false">SUMPRODUCT('3. Deal Allocation'!B5:B9,'3. Deal Allocation'!C5:C9)/SUM('3. Deal Allocation'!B5:B9)</f>
        <v>1.57627118644068</v>
      </c>
    </row>
    <row r="9" customFormat="false" ht="15" hidden="false" customHeight="true" outlineLevel="0" collapsed="false">
      <c r="A9" s="10" t="s">
        <v>7</v>
      </c>
      <c r="B9" s="14" t="n">
        <v>41666667</v>
      </c>
      <c r="E9" s="4" t="s">
        <v>8</v>
      </c>
    </row>
    <row r="10" customFormat="false" ht="15" hidden="false" customHeight="true" outlineLevel="0" collapsed="false">
      <c r="A10" s="10" t="s">
        <v>9</v>
      </c>
      <c r="B10" s="14" t="n">
        <v>150000000</v>
      </c>
      <c r="E10" s="4" t="s">
        <v>10</v>
      </c>
    </row>
    <row r="11" customFormat="false" ht="15" hidden="false" customHeight="true" outlineLevel="0" collapsed="false">
      <c r="A11" s="10" t="s">
        <v>11</v>
      </c>
      <c r="B11" s="15" t="n">
        <v>0.25</v>
      </c>
    </row>
    <row r="12" customFormat="false" ht="15" hidden="false" customHeight="true" outlineLevel="0" collapsed="false">
      <c r="A12" s="10" t="s">
        <v>12</v>
      </c>
      <c r="B12" s="16" t="n">
        <v>0.75</v>
      </c>
      <c r="E12" s="4" t="s">
        <v>13</v>
      </c>
    </row>
    <row r="13" customFormat="false" ht="15" hidden="false" customHeight="true" outlineLevel="0" collapsed="false">
      <c r="A13" s="17" t="s">
        <v>14</v>
      </c>
      <c r="B13" s="18" t="s">
        <v>15</v>
      </c>
      <c r="E13" s="19" t="s">
        <v>16</v>
      </c>
    </row>
    <row r="15" customFormat="false" ht="15" hidden="false" customHeight="true" outlineLevel="0" collapsed="false">
      <c r="A15" s="6" t="s">
        <v>17</v>
      </c>
      <c r="B15" s="3"/>
      <c r="C15" s="3"/>
      <c r="D15" s="3"/>
      <c r="E15" s="3"/>
    </row>
    <row r="16" customFormat="false" ht="15" hidden="false" customHeight="true" outlineLevel="0" collapsed="false">
      <c r="A16" s="7" t="s">
        <v>18</v>
      </c>
      <c r="B16" s="20" t="n">
        <v>0.85</v>
      </c>
    </row>
    <row r="17" customFormat="false" ht="15" hidden="false" customHeight="true" outlineLevel="0" collapsed="false">
      <c r="A17" s="10" t="s">
        <v>19</v>
      </c>
      <c r="B17" s="15" t="n">
        <v>0.95</v>
      </c>
    </row>
    <row r="18" customFormat="false" ht="15" hidden="false" customHeight="true" outlineLevel="0" collapsed="false">
      <c r="A18" s="10" t="s">
        <v>20</v>
      </c>
      <c r="B18" s="15" t="n">
        <v>0.8</v>
      </c>
      <c r="E18" s="4" t="s">
        <v>21</v>
      </c>
    </row>
    <row r="19" customFormat="false" ht="15" hidden="false" customHeight="true" outlineLevel="0" collapsed="false">
      <c r="A19" s="10" t="s">
        <v>22</v>
      </c>
      <c r="B19" s="15" t="n">
        <v>0</v>
      </c>
    </row>
    <row r="20" customFormat="false" ht="15" hidden="false" customHeight="true" outlineLevel="0" collapsed="false">
      <c r="A20" s="10" t="s">
        <v>23</v>
      </c>
      <c r="B20" s="15" t="n">
        <v>0.05</v>
      </c>
    </row>
    <row r="21" customFormat="false" ht="15" hidden="false" customHeight="true" outlineLevel="0" collapsed="false">
      <c r="A21" s="10" t="s">
        <v>24</v>
      </c>
      <c r="B21" s="11" t="n">
        <v>1</v>
      </c>
      <c r="E21" s="4" t="s">
        <v>25</v>
      </c>
    </row>
    <row r="22" customFormat="false" ht="15" hidden="false" customHeight="true" outlineLevel="0" collapsed="false">
      <c r="A22" s="10" t="s">
        <v>26</v>
      </c>
      <c r="B22" s="16" t="n">
        <v>0.85</v>
      </c>
      <c r="E22" s="4"/>
    </row>
    <row r="23" customFormat="false" ht="15" hidden="false" customHeight="true" outlineLevel="0" collapsed="false">
      <c r="A23" s="10" t="s">
        <v>27</v>
      </c>
      <c r="B23" s="16" t="n">
        <v>0</v>
      </c>
      <c r="E23" s="4"/>
    </row>
    <row r="25" customFormat="false" ht="15" hidden="false" customHeight="true" outlineLevel="0" collapsed="false">
      <c r="A25" s="6" t="s">
        <v>28</v>
      </c>
      <c r="B25" s="3"/>
      <c r="C25" s="3"/>
      <c r="D25" s="3"/>
      <c r="E25" s="3"/>
    </row>
    <row r="26" customFormat="false" ht="15" hidden="false" customHeight="true" outlineLevel="0" collapsed="false">
      <c r="A26" s="7" t="s">
        <v>29</v>
      </c>
      <c r="B26" s="20" t="n">
        <v>0.625</v>
      </c>
      <c r="E26" s="4" t="s">
        <v>30</v>
      </c>
    </row>
    <row r="28" customFormat="false" ht="15" hidden="false" customHeight="true" outlineLevel="0" collapsed="false">
      <c r="A28" s="21" t="s">
        <v>31</v>
      </c>
      <c r="B28" s="22"/>
      <c r="C28" s="22"/>
      <c r="D28" s="22"/>
      <c r="E28" s="22"/>
    </row>
    <row r="29" customFormat="false" ht="15" hidden="false" customHeight="true" outlineLevel="0" collapsed="false">
      <c r="A29" s="19" t="s">
        <v>32</v>
      </c>
      <c r="B29" s="17"/>
      <c r="C29" s="17"/>
      <c r="D29" s="17"/>
      <c r="E29" s="17"/>
    </row>
    <row r="30" customFormat="false" ht="15" hidden="false" customHeight="true" outlineLevel="0" collapsed="false">
      <c r="A30" s="17" t="s">
        <v>33</v>
      </c>
      <c r="B30" s="15" t="n">
        <v>0.1</v>
      </c>
      <c r="C30" s="23"/>
      <c r="D30" s="17"/>
      <c r="E30" s="19" t="s">
        <v>34</v>
      </c>
    </row>
    <row r="31" customFormat="false" ht="15" hidden="false" customHeight="true" outlineLevel="0" collapsed="false">
      <c r="A31" s="17" t="s">
        <v>35</v>
      </c>
      <c r="B31" s="15" t="n">
        <v>0.05</v>
      </c>
      <c r="C31" s="23"/>
      <c r="D31" s="17"/>
      <c r="E31" s="19" t="s">
        <v>36</v>
      </c>
    </row>
    <row r="32" customFormat="false" ht="15" hidden="false" customHeight="true" outlineLevel="0" collapsed="false">
      <c r="A32" s="17" t="s">
        <v>37</v>
      </c>
      <c r="B32" s="15" t="n">
        <v>0.06</v>
      </c>
      <c r="C32" s="23"/>
      <c r="D32" s="17"/>
      <c r="E32" s="19" t="s">
        <v>38</v>
      </c>
    </row>
    <row r="33" customFormat="false" ht="15" hidden="false" customHeight="true" outlineLevel="0" collapsed="false">
      <c r="A33" s="17" t="s">
        <v>39</v>
      </c>
      <c r="B33" s="15" t="n">
        <v>0</v>
      </c>
      <c r="C33" s="17"/>
      <c r="D33" s="17"/>
      <c r="E33" s="19" t="s">
        <v>40</v>
      </c>
    </row>
    <row r="34" customFormat="false" ht="15" hidden="false" customHeight="true" outlineLevel="0" collapsed="false">
      <c r="A34" s="17" t="s">
        <v>41</v>
      </c>
      <c r="B34" s="15" t="n">
        <v>0.3</v>
      </c>
      <c r="C34" s="23"/>
      <c r="D34" s="17"/>
      <c r="E34" s="19" t="s">
        <v>42</v>
      </c>
    </row>
    <row r="35" customFormat="false" ht="15" hidden="false" customHeight="true" outlineLevel="0" collapsed="false">
      <c r="A35" s="17" t="s">
        <v>43</v>
      </c>
      <c r="B35" s="15" t="n">
        <v>1</v>
      </c>
      <c r="C35" s="24" t="s">
        <v>44</v>
      </c>
      <c r="D35" s="17"/>
      <c r="E35" s="19" t="s">
        <v>45</v>
      </c>
    </row>
    <row r="36" customFormat="false" ht="15" hidden="false" customHeight="true" outlineLevel="0" collapsed="false">
      <c r="A36" s="17"/>
      <c r="B36" s="17"/>
      <c r="C36" s="17"/>
      <c r="D36" s="17"/>
      <c r="E36" s="17"/>
    </row>
    <row r="37" customFormat="false" ht="15" hidden="false" customHeight="true" outlineLevel="0" collapsed="false">
      <c r="A37" s="6" t="s">
        <v>46</v>
      </c>
      <c r="B37" s="3"/>
      <c r="C37" s="3"/>
      <c r="D37" s="3"/>
      <c r="E37" s="3"/>
    </row>
    <row r="38" customFormat="false" ht="15" hidden="false" customHeight="true" outlineLevel="0" collapsed="false">
      <c r="A38" s="7" t="s">
        <v>47</v>
      </c>
      <c r="B38" s="25" t="n">
        <v>1</v>
      </c>
      <c r="E38" s="4" t="s">
        <v>48</v>
      </c>
    </row>
    <row r="39" customFormat="false" ht="15" hidden="false" customHeight="true" outlineLevel="0" collapsed="false">
      <c r="A39" s="7" t="s">
        <v>49</v>
      </c>
      <c r="B39" s="20" t="n">
        <v>0.1</v>
      </c>
      <c r="E39" s="4" t="s">
        <v>50</v>
      </c>
    </row>
    <row r="40" customFormat="false" ht="15" hidden="false" customHeight="true" outlineLevel="0" collapsed="false">
      <c r="A40" s="10" t="s">
        <v>51</v>
      </c>
      <c r="B40" s="15" t="n">
        <v>0.8</v>
      </c>
      <c r="E40" s="4" t="s">
        <v>52</v>
      </c>
    </row>
    <row r="41" customFormat="false" ht="15" hidden="false" customHeight="true" outlineLevel="0" collapsed="false">
      <c r="A41" s="10" t="s">
        <v>53</v>
      </c>
      <c r="B41" s="15" t="n">
        <v>0.8</v>
      </c>
      <c r="E41" s="4" t="s">
        <v>54</v>
      </c>
    </row>
    <row r="42" customFormat="false" ht="15" hidden="false" customHeight="true" outlineLevel="0" collapsed="false">
      <c r="A42" s="10" t="s">
        <v>55</v>
      </c>
      <c r="B42" s="15" t="n">
        <v>0.8</v>
      </c>
      <c r="E42" s="4" t="s">
        <v>56</v>
      </c>
    </row>
    <row r="43" customFormat="false" ht="15" hidden="false" customHeight="true" outlineLevel="0" collapsed="false">
      <c r="A43" s="10" t="s">
        <v>57</v>
      </c>
      <c r="B43" s="26" t="s">
        <v>58</v>
      </c>
      <c r="E43" s="4" t="s">
        <v>59</v>
      </c>
    </row>
    <row r="45" customFormat="false" ht="15" hidden="false" customHeight="true" outlineLevel="0" collapsed="false">
      <c r="A45" s="6" t="s">
        <v>60</v>
      </c>
      <c r="B45" s="3"/>
      <c r="C45" s="3"/>
      <c r="D45" s="3"/>
      <c r="E45" s="3"/>
    </row>
    <row r="46" customFormat="false" ht="15" hidden="false" customHeight="true" outlineLevel="0" collapsed="false">
      <c r="A46" s="7" t="s">
        <v>61</v>
      </c>
      <c r="B46" s="7" t="s">
        <v>62</v>
      </c>
      <c r="C46" s="7" t="s">
        <v>63</v>
      </c>
    </row>
    <row r="47" customFormat="false" ht="15" hidden="false" customHeight="true" outlineLevel="0" collapsed="false">
      <c r="A47" s="10" t="s">
        <v>64</v>
      </c>
      <c r="B47" s="26" t="s">
        <v>65</v>
      </c>
      <c r="C47" s="15" t="n">
        <v>1</v>
      </c>
    </row>
    <row r="48" customFormat="false" ht="15" hidden="false" customHeight="true" outlineLevel="0" collapsed="false">
      <c r="A48" s="10" t="s">
        <v>66</v>
      </c>
      <c r="B48" s="26" t="s">
        <v>67</v>
      </c>
      <c r="C48" s="15" t="n">
        <v>0.8</v>
      </c>
    </row>
    <row r="49" customFormat="false" ht="15" hidden="false" customHeight="true" outlineLevel="0" collapsed="false">
      <c r="A49" s="10" t="s">
        <v>68</v>
      </c>
      <c r="B49" s="26" t="s">
        <v>69</v>
      </c>
      <c r="C49" s="15" t="n">
        <v>0.75</v>
      </c>
    </row>
    <row r="50" customFormat="false" ht="15" hidden="false" customHeight="true" outlineLevel="0" collapsed="false">
      <c r="A50" s="10" t="s">
        <v>70</v>
      </c>
      <c r="B50" s="26"/>
      <c r="C50" s="15" t="n">
        <v>0.7</v>
      </c>
    </row>
    <row r="52" customFormat="false" ht="15" hidden="false" customHeight="true" outlineLevel="0" collapsed="false">
      <c r="A52" s="6" t="s">
        <v>71</v>
      </c>
      <c r="B52" s="3"/>
      <c r="C52" s="3"/>
      <c r="D52" s="3"/>
      <c r="E52" s="3"/>
    </row>
    <row r="53" customFormat="false" ht="15" hidden="false" customHeight="true" outlineLevel="0" collapsed="false">
      <c r="A53" s="10" t="s">
        <v>72</v>
      </c>
      <c r="B53" s="12" t="n">
        <v>1000000</v>
      </c>
    </row>
    <row r="54" customFormat="false" ht="15" hidden="false" customHeight="true" outlineLevel="0" collapsed="false">
      <c r="A54" s="10" t="s">
        <v>73</v>
      </c>
      <c r="B54" s="12" t="n">
        <v>500000</v>
      </c>
    </row>
    <row r="55" customFormat="false" ht="15" hidden="false" customHeight="true" outlineLevel="0" collapsed="false">
      <c r="A55" s="10" t="s">
        <v>74</v>
      </c>
      <c r="B55" s="12" t="n">
        <v>500000</v>
      </c>
    </row>
    <row r="56" customFormat="false" ht="15" hidden="false" customHeight="true" outlineLevel="0" collapsed="false">
      <c r="A56" s="10" t="s">
        <v>75</v>
      </c>
      <c r="B56" s="12" t="n">
        <v>500000</v>
      </c>
    </row>
    <row r="57" customFormat="false" ht="15" hidden="false" customHeight="true" outlineLevel="0" collapsed="false">
      <c r="A57" s="10" t="s">
        <v>76</v>
      </c>
      <c r="B57" s="12" t="n">
        <v>500000</v>
      </c>
    </row>
    <row r="58" customFormat="false" ht="15" hidden="false" customHeight="true" outlineLevel="0" collapsed="false">
      <c r="A58" s="10" t="s">
        <v>77</v>
      </c>
      <c r="B58" s="12" t="n">
        <v>500000</v>
      </c>
    </row>
    <row r="59" customFormat="false" ht="15" hidden="false" customHeight="true" outlineLevel="0" collapsed="false">
      <c r="A59" s="10" t="s">
        <v>78</v>
      </c>
      <c r="B59" s="11" t="n">
        <v>20</v>
      </c>
    </row>
    <row r="60" customFormat="false" ht="15" hidden="false" customHeight="true" outlineLevel="0" collapsed="false">
      <c r="A60" s="10" t="s">
        <v>79</v>
      </c>
      <c r="B60" s="12" t="n">
        <v>250000</v>
      </c>
      <c r="E60" s="4" t="s">
        <v>80</v>
      </c>
    </row>
    <row r="61" customFormat="false" ht="15" hidden="false" customHeight="true" outlineLevel="0" collapsed="false">
      <c r="A61" s="10" t="s">
        <v>81</v>
      </c>
      <c r="B61" s="12" t="n">
        <v>125000</v>
      </c>
      <c r="E61" s="4" t="s">
        <v>82</v>
      </c>
    </row>
    <row r="62" customFormat="false" ht="15" hidden="false" customHeight="true" outlineLevel="0" collapsed="false">
      <c r="A62" s="10" t="s">
        <v>83</v>
      </c>
      <c r="B62" s="12" t="n">
        <v>100000000</v>
      </c>
      <c r="E62" s="4"/>
    </row>
    <row r="63" customFormat="false" ht="15" hidden="false" customHeight="true" outlineLevel="0" collapsed="false">
      <c r="A63" s="10" t="s">
        <v>84</v>
      </c>
      <c r="B63" s="27" t="n">
        <v>1.5</v>
      </c>
      <c r="E63" s="4" t="s">
        <v>85</v>
      </c>
    </row>
    <row r="65" customFormat="false" ht="15" hidden="false" customHeight="true" outlineLevel="0" collapsed="false">
      <c r="A65" s="6" t="s">
        <v>86</v>
      </c>
      <c r="B65" s="3"/>
      <c r="C65" s="3"/>
      <c r="D65" s="3"/>
      <c r="E65" s="3"/>
    </row>
    <row r="66" customFormat="false" ht="15" hidden="false" customHeight="true" outlineLevel="0" collapsed="false">
      <c r="A66" s="10" t="s">
        <v>87</v>
      </c>
      <c r="B66" s="11" t="n">
        <v>1</v>
      </c>
    </row>
    <row r="67" customFormat="false" ht="15" hidden="false" customHeight="true" outlineLevel="0" collapsed="false">
      <c r="A67" s="7" t="s">
        <v>88</v>
      </c>
    </row>
    <row r="68" customFormat="false" ht="15" hidden="false" customHeight="true" outlineLevel="0" collapsed="false">
      <c r="A68" s="10" t="s">
        <v>89</v>
      </c>
      <c r="B68" s="11" t="n">
        <v>4</v>
      </c>
    </row>
    <row r="69" customFormat="false" ht="15" hidden="false" customHeight="true" outlineLevel="0" collapsed="false">
      <c r="A69" s="10" t="s">
        <v>90</v>
      </c>
      <c r="B69" s="11" t="n">
        <v>8</v>
      </c>
    </row>
    <row r="70" customFormat="false" ht="15" hidden="false" customHeight="true" outlineLevel="0" collapsed="false">
      <c r="A70" s="10" t="s">
        <v>91</v>
      </c>
      <c r="B70" s="11" t="n">
        <v>12</v>
      </c>
    </row>
    <row r="71" customFormat="false" ht="15" hidden="false" customHeight="true" outlineLevel="0" collapsed="false">
      <c r="A71" s="10" t="s">
        <v>92</v>
      </c>
      <c r="B71" s="11" t="n">
        <v>16</v>
      </c>
    </row>
    <row r="72" customFormat="false" ht="15" hidden="false" customHeight="true" outlineLevel="0" collapsed="false">
      <c r="A72" s="10" t="s">
        <v>93</v>
      </c>
      <c r="B72" s="11" t="n">
        <v>20</v>
      </c>
    </row>
    <row r="73" customFormat="false" ht="15" hidden="false" customHeight="true" outlineLevel="0" collapsed="false">
      <c r="A73" s="10"/>
      <c r="B73" s="11"/>
    </row>
    <row r="74" customFormat="false" ht="15" hidden="false" customHeight="true" outlineLevel="0" collapsed="false">
      <c r="A74" s="10"/>
      <c r="B74" s="11"/>
    </row>
    <row r="75" customFormat="false" ht="15" hidden="false" customHeight="true" outlineLevel="0" collapsed="false">
      <c r="A75" s="10"/>
      <c r="B75" s="11"/>
    </row>
    <row r="76" customFormat="false" ht="15" hidden="false" customHeight="true" outlineLevel="0" collapsed="false">
      <c r="A76" s="10"/>
      <c r="B76" s="11"/>
    </row>
    <row r="78" customFormat="false" ht="15" hidden="false" customHeight="true" outlineLevel="0" collapsed="false">
      <c r="A78" s="6" t="s">
        <v>94</v>
      </c>
      <c r="B78" s="3"/>
      <c r="C78" s="3"/>
      <c r="D78" s="3"/>
      <c r="E78" s="3"/>
    </row>
    <row r="79" customFormat="false" ht="15" hidden="false" customHeight="true" outlineLevel="0" collapsed="false">
      <c r="A79" s="7" t="s">
        <v>95</v>
      </c>
      <c r="B79" s="28" t="n">
        <v>1</v>
      </c>
      <c r="E79" s="4"/>
    </row>
    <row r="80" customFormat="false" ht="15" hidden="false" customHeight="true" outlineLevel="0" collapsed="false">
      <c r="A80" s="10" t="s">
        <v>96</v>
      </c>
      <c r="B80" s="15" t="n">
        <v>0.5</v>
      </c>
      <c r="E80" s="4" t="s">
        <v>97</v>
      </c>
    </row>
    <row r="81" customFormat="false" ht="15" hidden="false" customHeight="true" outlineLevel="0" collapsed="false">
      <c r="A81" s="10" t="s">
        <v>98</v>
      </c>
      <c r="B81" s="11" t="n">
        <v>40</v>
      </c>
      <c r="C81" s="9" t="s">
        <v>99</v>
      </c>
      <c r="E81" s="4" t="s">
        <v>100</v>
      </c>
    </row>
    <row r="82" customFormat="false" ht="15" hidden="false" customHeight="true" outlineLevel="0" collapsed="false">
      <c r="A82" s="10" t="s">
        <v>101</v>
      </c>
      <c r="B82" s="11" t="n">
        <v>1</v>
      </c>
      <c r="E82" s="4" t="s">
        <v>102</v>
      </c>
    </row>
    <row r="83" customFormat="false" ht="15" hidden="false" customHeight="true" outlineLevel="0" collapsed="false">
      <c r="A83" s="10" t="s">
        <v>103</v>
      </c>
      <c r="B83" s="14" t="n">
        <v>36000000</v>
      </c>
      <c r="E83" s="4" t="s">
        <v>8</v>
      </c>
    </row>
    <row r="84" customFormat="false" ht="15" hidden="false" customHeight="true" outlineLevel="0" collapsed="false">
      <c r="A84" s="10" t="s">
        <v>104</v>
      </c>
      <c r="B84" s="14" t="n">
        <v>36000000</v>
      </c>
      <c r="E84" s="4" t="s">
        <v>105</v>
      </c>
    </row>
    <row r="86" customFormat="false" ht="15" hidden="false" customHeight="true" outlineLevel="0" collapsed="false">
      <c r="A86" s="6" t="s">
        <v>106</v>
      </c>
      <c r="B86" s="3"/>
      <c r="C86" s="3"/>
      <c r="D86" s="3"/>
      <c r="E86" s="3"/>
    </row>
    <row r="87" customFormat="false" ht="15" hidden="false" customHeight="true" outlineLevel="0" collapsed="false">
      <c r="A87" s="4" t="s">
        <v>107</v>
      </c>
    </row>
    <row r="88" customFormat="false" ht="15" hidden="false" customHeight="true" outlineLevel="0" collapsed="false">
      <c r="A88" s="29" t="s">
        <v>108</v>
      </c>
      <c r="B88" s="7" t="s">
        <v>109</v>
      </c>
      <c r="C88" s="7" t="s">
        <v>110</v>
      </c>
      <c r="D88" s="7" t="s">
        <v>111</v>
      </c>
      <c r="E88" s="7" t="s">
        <v>112</v>
      </c>
      <c r="F88" s="7"/>
      <c r="G88" s="7" t="s">
        <v>113</v>
      </c>
      <c r="H88" s="7" t="s">
        <v>114</v>
      </c>
      <c r="I88" s="7"/>
      <c r="J88" s="7" t="s">
        <v>115</v>
      </c>
      <c r="K88" s="1" t="s">
        <v>116</v>
      </c>
    </row>
    <row r="89" customFormat="false" ht="15" hidden="false" customHeight="true" outlineLevel="0" collapsed="false">
      <c r="A89" s="10" t="s">
        <v>117</v>
      </c>
      <c r="B89" s="10"/>
      <c r="C89" s="10" t="s">
        <v>118</v>
      </c>
      <c r="D89" s="30" t="n">
        <v>25</v>
      </c>
      <c r="E89" s="13" t="n">
        <v>2</v>
      </c>
      <c r="G89" s="15" t="n">
        <v>1.05</v>
      </c>
      <c r="H89" s="15" t="n">
        <v>1</v>
      </c>
      <c r="J89" s="26" t="s">
        <v>119</v>
      </c>
      <c r="K89" s="1" t="n">
        <v>4</v>
      </c>
    </row>
    <row r="90" customFormat="false" ht="15" hidden="false" customHeight="true" outlineLevel="0" collapsed="false">
      <c r="A90" s="10" t="s">
        <v>120</v>
      </c>
      <c r="B90" s="10"/>
      <c r="C90" s="10" t="s">
        <v>121</v>
      </c>
      <c r="D90" s="30" t="n">
        <v>25</v>
      </c>
      <c r="E90" s="13" t="n">
        <v>1.5</v>
      </c>
      <c r="G90" s="15" t="n">
        <v>0.9</v>
      </c>
      <c r="H90" s="15" t="n">
        <v>0.85</v>
      </c>
      <c r="J90" s="26" t="s">
        <v>122</v>
      </c>
      <c r="K90" s="1" t="n">
        <v>8</v>
      </c>
    </row>
    <row r="91" customFormat="false" ht="15" hidden="false" customHeight="true" outlineLevel="0" collapsed="false">
      <c r="A91" s="10" t="s">
        <v>123</v>
      </c>
      <c r="B91" s="10"/>
      <c r="C91" s="10" t="s">
        <v>124</v>
      </c>
      <c r="D91" s="30" t="n">
        <v>25</v>
      </c>
      <c r="E91" s="13" t="n">
        <v>1.25</v>
      </c>
      <c r="G91" s="15" t="n">
        <v>0.92</v>
      </c>
      <c r="H91" s="15" t="n">
        <v>1</v>
      </c>
      <c r="J91" s="26" t="s">
        <v>125</v>
      </c>
      <c r="K91" s="1" t="n">
        <v>12</v>
      </c>
    </row>
    <row r="92" customFormat="false" ht="15" hidden="false" customHeight="true" outlineLevel="0" collapsed="false">
      <c r="A92" s="10" t="s">
        <v>126</v>
      </c>
      <c r="B92" s="10"/>
      <c r="C92" s="10" t="s">
        <v>124</v>
      </c>
      <c r="D92" s="30" t="n">
        <v>25</v>
      </c>
      <c r="E92" s="13" t="n">
        <v>1.25</v>
      </c>
      <c r="G92" s="15" t="n">
        <v>1.03</v>
      </c>
      <c r="H92" s="15" t="n">
        <v>0.8</v>
      </c>
      <c r="J92" s="26" t="s">
        <v>127</v>
      </c>
      <c r="K92" s="1" t="n">
        <v>16</v>
      </c>
    </row>
    <row r="93" customFormat="false" ht="15" hidden="false" customHeight="true" outlineLevel="0" collapsed="false">
      <c r="A93" s="10" t="s">
        <v>128</v>
      </c>
      <c r="B93" s="10"/>
      <c r="C93" s="10" t="s">
        <v>129</v>
      </c>
      <c r="D93" s="30" t="n">
        <v>18</v>
      </c>
      <c r="E93" s="13" t="n">
        <v>2</v>
      </c>
      <c r="G93" s="15" t="n">
        <v>0.9</v>
      </c>
      <c r="H93" s="15" t="n">
        <v>0.8</v>
      </c>
      <c r="J93" s="26" t="s">
        <v>130</v>
      </c>
      <c r="K93" s="1" t="n">
        <v>32</v>
      </c>
    </row>
    <row r="95" customFormat="false" ht="15" hidden="false" customHeight="true" outlineLevel="0" collapsed="false">
      <c r="A95" s="5" t="s">
        <v>131</v>
      </c>
    </row>
    <row r="96" customFormat="false" ht="15" hidden="false" customHeight="true" outlineLevel="0" collapsed="false">
      <c r="A96" s="10" t="s">
        <v>132</v>
      </c>
      <c r="B96" s="10"/>
      <c r="C96" s="10" t="s">
        <v>133</v>
      </c>
      <c r="D96" s="30" t="n">
        <v>0</v>
      </c>
      <c r="E96" s="13" t="n">
        <v>2</v>
      </c>
      <c r="G96" s="15" t="n">
        <v>1.05</v>
      </c>
      <c r="H96" s="15" t="n">
        <v>1</v>
      </c>
      <c r="J96" s="26" t="s">
        <v>134</v>
      </c>
      <c r="K96" s="1" t="n">
        <v>999</v>
      </c>
    </row>
    <row r="97" customFormat="false" ht="15" hidden="false" customHeight="true" outlineLevel="0" collapsed="false">
      <c r="A97" s="10" t="s">
        <v>135</v>
      </c>
      <c r="B97" s="10"/>
      <c r="C97" s="10" t="s">
        <v>133</v>
      </c>
      <c r="D97" s="30" t="n">
        <v>0</v>
      </c>
      <c r="E97" s="13" t="n">
        <v>2</v>
      </c>
      <c r="G97" s="15" t="n">
        <v>1.05</v>
      </c>
      <c r="H97" s="15" t="n">
        <v>1</v>
      </c>
      <c r="J97" s="26" t="s">
        <v>136</v>
      </c>
      <c r="K97" s="1" t="n">
        <v>999</v>
      </c>
    </row>
    <row r="98" customFormat="false" ht="15" hidden="false" customHeight="true" outlineLevel="0" collapsed="false">
      <c r="A98" s="10" t="s">
        <v>137</v>
      </c>
      <c r="B98" s="10"/>
      <c r="C98" s="10" t="s">
        <v>133</v>
      </c>
      <c r="D98" s="30" t="n">
        <v>0</v>
      </c>
      <c r="E98" s="13" t="n">
        <v>2</v>
      </c>
      <c r="G98" s="15" t="n">
        <v>0.9</v>
      </c>
      <c r="H98" s="15" t="n">
        <v>0.85</v>
      </c>
      <c r="J98" s="26" t="s">
        <v>138</v>
      </c>
      <c r="K98" s="1" t="n">
        <v>999</v>
      </c>
    </row>
    <row r="99" customFormat="false" ht="15" hidden="false" customHeight="true" outlineLevel="0" collapsed="false">
      <c r="A99" s="10" t="s">
        <v>139</v>
      </c>
      <c r="B99" s="10"/>
      <c r="C99" s="10" t="s">
        <v>133</v>
      </c>
      <c r="D99" s="30" t="n">
        <v>0</v>
      </c>
      <c r="E99" s="13" t="n">
        <v>2</v>
      </c>
      <c r="G99" s="15" t="n">
        <v>0.9</v>
      </c>
      <c r="H99" s="15" t="n">
        <v>0.8</v>
      </c>
      <c r="J99" s="26" t="s">
        <v>140</v>
      </c>
      <c r="K99" s="1" t="n">
        <v>999</v>
      </c>
    </row>
    <row r="100" customFormat="false" ht="15" hidden="false" customHeight="true" outlineLevel="0" collapsed="false">
      <c r="A100" s="31"/>
    </row>
    <row r="101" customFormat="false" ht="15" hidden="false" customHeight="true" outlineLevel="0" collapsed="false">
      <c r="K101" s="1"/>
    </row>
    <row r="102" customFormat="false" ht="15" hidden="false" customHeight="true" outlineLevel="0" collapsed="false">
      <c r="A102" s="6"/>
      <c r="B102" s="3"/>
      <c r="C102" s="3"/>
      <c r="D102" s="3"/>
      <c r="E102" s="3"/>
      <c r="K102" s="1"/>
    </row>
    <row r="103" customFormat="false" ht="15" hidden="false" customHeight="true" outlineLevel="0" collapsed="false">
      <c r="A103" s="10" t="s">
        <v>141</v>
      </c>
      <c r="B103" s="11" t="n">
        <v>140</v>
      </c>
      <c r="E103" s="4"/>
      <c r="K103" s="1"/>
    </row>
    <row r="104" customFormat="false" ht="15" hidden="false" customHeight="true" outlineLevel="0" collapsed="false">
      <c r="A104" s="10" t="s">
        <v>142</v>
      </c>
      <c r="B104" s="12" t="n">
        <v>200000</v>
      </c>
      <c r="E104" s="4"/>
      <c r="K104" s="1"/>
    </row>
    <row r="105" customFormat="false" ht="15" hidden="false" customHeight="true" outlineLevel="0" collapsed="false">
      <c r="A105" s="10"/>
      <c r="B105" s="15"/>
      <c r="C105" s="9"/>
      <c r="E105" s="4"/>
    </row>
    <row r="106" customFormat="false" ht="15" hidden="false" customHeight="true" outlineLevel="0" collapsed="false">
      <c r="A106" s="10" t="s">
        <v>143</v>
      </c>
      <c r="B106" s="11" t="n">
        <v>4</v>
      </c>
      <c r="E106" s="4" t="s">
        <v>144</v>
      </c>
    </row>
    <row r="107" customFormat="false" ht="15" hidden="false" customHeight="true" outlineLevel="0" collapsed="false">
      <c r="A107" s="10" t="s">
        <v>145</v>
      </c>
      <c r="B107" s="11" t="n">
        <v>2</v>
      </c>
      <c r="E107" s="4" t="s">
        <v>146</v>
      </c>
    </row>
    <row r="108" customFormat="false" ht="15" hidden="false" customHeight="true" outlineLevel="0" collapsed="false">
      <c r="A108" s="10" t="s">
        <v>147</v>
      </c>
      <c r="B108" s="11" t="n">
        <v>12</v>
      </c>
      <c r="E108" s="4" t="s">
        <v>148</v>
      </c>
    </row>
    <row r="109" customFormat="false" ht="15" hidden="false" customHeight="true" outlineLevel="0" collapsed="false">
      <c r="A109" s="10" t="s">
        <v>149</v>
      </c>
      <c r="B109" s="32" t="n">
        <v>8</v>
      </c>
      <c r="E109" s="4" t="s">
        <v>150</v>
      </c>
    </row>
    <row r="110" customFormat="false" ht="15" hidden="false" customHeight="true" outlineLevel="0" collapsed="false">
      <c r="A110" s="10" t="s">
        <v>151</v>
      </c>
      <c r="B110" s="14" t="n">
        <v>35000</v>
      </c>
      <c r="C110" s="9"/>
      <c r="E110" s="4" t="s">
        <v>152</v>
      </c>
    </row>
    <row r="111" customFormat="false" ht="15" hidden="false" customHeight="true" outlineLevel="0" collapsed="false">
      <c r="A111" s="10" t="s">
        <v>153</v>
      </c>
      <c r="B111" s="23" t="s">
        <v>154</v>
      </c>
      <c r="E111" s="19" t="s">
        <v>155</v>
      </c>
    </row>
    <row r="112" customFormat="false" ht="15" hidden="false" customHeight="true" outlineLevel="0" collapsed="false">
      <c r="A112" s="10" t="s">
        <v>156</v>
      </c>
      <c r="B112" s="14" t="n">
        <v>0</v>
      </c>
      <c r="E112" s="4" t="s">
        <v>157</v>
      </c>
    </row>
    <row r="114" customFormat="false" ht="15" hidden="false" customHeight="true" outlineLevel="0" collapsed="false">
      <c r="A114" s="6" t="s">
        <v>158</v>
      </c>
      <c r="B114" s="3"/>
      <c r="C114" s="3"/>
      <c r="D114" s="3"/>
      <c r="E114" s="3"/>
    </row>
    <row r="115" customFormat="false" ht="15" hidden="false" customHeight="true" outlineLevel="0" collapsed="false">
      <c r="A115" s="10" t="s">
        <v>159</v>
      </c>
      <c r="B115" s="11" t="n">
        <v>120</v>
      </c>
      <c r="E115" s="4" t="s">
        <v>160</v>
      </c>
    </row>
    <row r="116" customFormat="false" ht="15" hidden="false" customHeight="true" outlineLevel="0" collapsed="false">
      <c r="A116" s="10" t="s">
        <v>161</v>
      </c>
      <c r="B116" s="13" t="n">
        <v>0</v>
      </c>
      <c r="E116" s="4" t="s">
        <v>162</v>
      </c>
    </row>
    <row r="117" customFormat="false" ht="15" hidden="false" customHeight="true" outlineLevel="0" collapsed="false">
      <c r="A117" s="10" t="s">
        <v>163</v>
      </c>
      <c r="B117" s="11" t="n">
        <v>0</v>
      </c>
      <c r="E117" s="4" t="s">
        <v>164</v>
      </c>
    </row>
    <row r="119" customFormat="false" ht="15" hidden="false" customHeight="true" outlineLevel="0" collapsed="false">
      <c r="A119" s="6"/>
      <c r="B119" s="3"/>
      <c r="C119" s="3"/>
      <c r="D119" s="3"/>
      <c r="E119" s="3"/>
    </row>
    <row r="120" customFormat="false" ht="15" hidden="false" customHeight="true" outlineLevel="0" collapsed="false">
      <c r="A120" s="4"/>
    </row>
    <row r="121" customFormat="false" ht="15" hidden="false" customHeight="true" outlineLevel="0" collapsed="false">
      <c r="A121" s="7"/>
      <c r="B121" s="7"/>
      <c r="C121" s="7"/>
    </row>
    <row r="122" customFormat="false" ht="15" hidden="false" customHeight="true" outlineLevel="0" collapsed="false">
      <c r="A122" s="10"/>
      <c r="B122" s="26"/>
      <c r="C122" s="26"/>
    </row>
    <row r="123" customFormat="false" ht="15" hidden="false" customHeight="true" outlineLevel="0" collapsed="false">
      <c r="A123" s="10"/>
      <c r="B123" s="26"/>
      <c r="C123" s="26"/>
    </row>
    <row r="124" customFormat="false" ht="15" hidden="false" customHeight="true" outlineLevel="0" collapsed="false">
      <c r="A124" s="10"/>
      <c r="B124" s="26"/>
      <c r="C124" s="26"/>
    </row>
    <row r="125" customFormat="false" ht="15" hidden="false" customHeight="true" outlineLevel="0" collapsed="false">
      <c r="A125" s="10"/>
      <c r="B125" s="26"/>
      <c r="C125" s="26"/>
    </row>
    <row r="126" customFormat="false" ht="15" hidden="false" customHeight="true" outlineLevel="0" collapsed="false">
      <c r="A126" s="10"/>
      <c r="B126" s="26"/>
      <c r="C126" s="26"/>
    </row>
    <row r="129" customFormat="false" ht="15" hidden="false" customHeight="true" outlineLevel="0" collapsed="false">
      <c r="A129" s="6" t="s">
        <v>165</v>
      </c>
      <c r="B129" s="3"/>
      <c r="C129" s="3"/>
      <c r="D129" s="3"/>
      <c r="E129" s="3"/>
    </row>
    <row r="130" customFormat="false" ht="15" hidden="false" customHeight="true" outlineLevel="0" collapsed="false">
      <c r="A130" s="10" t="s">
        <v>166</v>
      </c>
      <c r="B130" s="11" t="n">
        <v>180</v>
      </c>
      <c r="E130" s="4" t="s">
        <v>167</v>
      </c>
    </row>
    <row r="131" customFormat="false" ht="15" hidden="false" customHeight="true" outlineLevel="0" collapsed="false">
      <c r="A131" s="10" t="s">
        <v>168</v>
      </c>
      <c r="B131" s="11" t="n">
        <v>180</v>
      </c>
      <c r="E131" s="4" t="s">
        <v>169</v>
      </c>
    </row>
    <row r="132" customFormat="false" ht="15" hidden="false" customHeight="true" outlineLevel="0" collapsed="false">
      <c r="A132" s="10" t="s">
        <v>170</v>
      </c>
      <c r="B132" s="11" t="n">
        <v>15</v>
      </c>
      <c r="E132" s="4" t="s">
        <v>171</v>
      </c>
    </row>
    <row r="134" customFormat="false" ht="15" hidden="false" customHeight="true" outlineLevel="0" collapsed="false">
      <c r="A134" s="33" t="s">
        <v>172</v>
      </c>
    </row>
    <row r="135" customFormat="false" ht="15" hidden="false" customHeight="true" outlineLevel="0" collapsed="false">
      <c r="A135" s="34" t="s">
        <v>173</v>
      </c>
      <c r="B135" s="35"/>
      <c r="C135" s="35"/>
      <c r="D135" s="35"/>
      <c r="E135" s="35"/>
    </row>
    <row r="136" customFormat="false" ht="15" hidden="false" customHeight="true" outlineLevel="0" collapsed="false">
      <c r="A136" s="9" t="s">
        <v>174</v>
      </c>
      <c r="B136" s="36"/>
      <c r="C136" s="9"/>
    </row>
    <row r="137" customFormat="false" ht="15" hidden="false" customHeight="true" outlineLevel="0" collapsed="false">
      <c r="A137" s="1" t="s">
        <v>175</v>
      </c>
      <c r="B137" s="37" t="n">
        <v>1</v>
      </c>
      <c r="C137" s="9" t="s">
        <v>176</v>
      </c>
    </row>
    <row r="138" customFormat="false" ht="15" hidden="false" customHeight="true" outlineLevel="0" collapsed="false">
      <c r="A138" s="31" t="s">
        <v>177</v>
      </c>
      <c r="B138" s="37" t="n">
        <v>0.02</v>
      </c>
      <c r="C138" s="9" t="s">
        <v>178</v>
      </c>
    </row>
    <row r="139" customFormat="false" ht="15" hidden="false" customHeight="true" outlineLevel="0" collapsed="false">
      <c r="A139" s="1" t="s">
        <v>179</v>
      </c>
      <c r="B139" s="38" t="n">
        <f aca="false">B138*B5/1000000</f>
        <v>3</v>
      </c>
      <c r="C139" s="9" t="s">
        <v>180</v>
      </c>
    </row>
    <row r="140" customFormat="false" ht="15" hidden="false" customHeight="true" outlineLevel="0" collapsed="false">
      <c r="A140" s="1" t="s">
        <v>181</v>
      </c>
      <c r="B140" s="39" t="n">
        <f aca="false">IF(B139=0, "N/A", _Engine_R50!B251/B139)</f>
        <v>20.561310891457</v>
      </c>
      <c r="C140" s="9" t="s">
        <v>182</v>
      </c>
    </row>
    <row r="141" customFormat="false" ht="15" hidden="false" customHeight="true" outlineLevel="0" collapsed="false">
      <c r="A141" s="1" t="s">
        <v>183</v>
      </c>
      <c r="B141" s="40" t="n">
        <v>0</v>
      </c>
      <c r="C141" s="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0" min="2" style="1" width="14"/>
  </cols>
  <sheetData>
    <row r="1" customFormat="false" ht="15.75" hidden="false" customHeight="true" outlineLevel="0" collapsed="false">
      <c r="A1" s="41" t="s">
        <v>185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</row>
    <row r="2" customFormat="false" ht="15" hidden="false" customHeight="true" outlineLevel="0" collapsed="false">
      <c r="A2" s="9" t="s">
        <v>186</v>
      </c>
      <c r="K2" s="1"/>
      <c r="L2" s="1"/>
    </row>
    <row r="3" customFormat="false" ht="15" hidden="false" customHeight="true" outlineLevel="0" collapsed="false">
      <c r="A3" s="31"/>
      <c r="K3" s="1"/>
      <c r="L3" s="1"/>
    </row>
    <row r="4" customFormat="false" ht="15" hidden="false" customHeight="true" outlineLevel="0" collapsed="false">
      <c r="A4" s="18"/>
      <c r="B4" s="42"/>
      <c r="C4" s="42"/>
      <c r="D4" s="42"/>
      <c r="E4" s="42"/>
      <c r="F4" s="42"/>
      <c r="G4" s="42"/>
      <c r="H4" s="42"/>
      <c r="I4" s="42"/>
      <c r="J4" s="42"/>
      <c r="K4" s="1"/>
      <c r="L4" s="1"/>
    </row>
    <row r="5" customFormat="false" ht="15" hidden="false" customHeight="true" outlineLevel="0" collapsed="false">
      <c r="A5" s="18"/>
      <c r="B5" s="43"/>
      <c r="C5" s="43" t="s">
        <v>187</v>
      </c>
      <c r="D5" s="44"/>
      <c r="E5" s="43"/>
      <c r="F5" s="43" t="s">
        <v>188</v>
      </c>
      <c r="G5" s="44"/>
      <c r="H5" s="43"/>
      <c r="I5" s="43" t="s">
        <v>189</v>
      </c>
      <c r="J5" s="44"/>
      <c r="K5" s="1"/>
      <c r="L5" s="1"/>
    </row>
    <row r="6" customFormat="false" ht="15" hidden="false" customHeight="true" outlineLevel="0" collapsed="false">
      <c r="K6" s="1"/>
      <c r="L6" s="1"/>
    </row>
    <row r="7" customFormat="false" ht="15" hidden="false" customHeight="true" outlineLevel="0" collapsed="false">
      <c r="A7" s="21" t="s">
        <v>190</v>
      </c>
      <c r="B7" s="3"/>
      <c r="C7" s="3"/>
      <c r="D7" s="3"/>
      <c r="E7" s="3"/>
      <c r="F7" s="3"/>
      <c r="G7" s="3"/>
      <c r="H7" s="3"/>
      <c r="I7" s="3"/>
      <c r="J7" s="3"/>
      <c r="K7" s="1"/>
      <c r="L7" s="1"/>
    </row>
    <row r="8" customFormat="false" ht="15" hidden="false" customHeight="true" outlineLevel="0" collapsed="false">
      <c r="A8" s="17" t="s">
        <v>191</v>
      </c>
      <c r="B8" s="45"/>
      <c r="C8" s="45" t="n">
        <v>5</v>
      </c>
      <c r="D8" s="46"/>
      <c r="E8" s="45"/>
      <c r="F8" s="45" t="n">
        <v>10</v>
      </c>
      <c r="G8" s="46"/>
      <c r="H8" s="45"/>
      <c r="I8" s="45" t="n">
        <v>25</v>
      </c>
      <c r="J8" s="46"/>
      <c r="K8" s="1"/>
      <c r="L8" s="1"/>
    </row>
    <row r="9" customFormat="false" ht="15" hidden="false" customHeight="true" outlineLevel="0" collapsed="false">
      <c r="A9" s="18" t="s">
        <v>192</v>
      </c>
      <c r="B9" s="47"/>
      <c r="C9" s="47" t="s">
        <v>193</v>
      </c>
      <c r="D9" s="48"/>
      <c r="E9" s="47"/>
      <c r="F9" s="47" t="s">
        <v>193</v>
      </c>
      <c r="G9" s="48"/>
      <c r="H9" s="47"/>
      <c r="I9" s="47" t="s">
        <v>193</v>
      </c>
      <c r="J9" s="48"/>
      <c r="K9" s="1"/>
      <c r="L9" s="1"/>
    </row>
    <row r="10" customFormat="false" ht="15" hidden="false" customHeight="true" outlineLevel="0" collapsed="false">
      <c r="A10" s="18"/>
      <c r="B10" s="49"/>
      <c r="C10" s="49"/>
      <c r="E10" s="49"/>
      <c r="F10" s="49"/>
      <c r="H10" s="49"/>
      <c r="I10" s="49"/>
      <c r="K10" s="1"/>
      <c r="L10" s="1"/>
    </row>
    <row r="11" customFormat="false" ht="15" hidden="false" customHeight="true" outlineLevel="0" collapsed="false">
      <c r="A11" s="21" t="s">
        <v>194</v>
      </c>
      <c r="B11" s="3"/>
      <c r="C11" s="3"/>
      <c r="D11" s="3"/>
      <c r="E11" s="3"/>
      <c r="F11" s="3"/>
      <c r="G11" s="3"/>
      <c r="H11" s="3"/>
      <c r="I11" s="3"/>
      <c r="J11" s="3"/>
      <c r="K11" s="1"/>
      <c r="L11" s="1"/>
    </row>
    <row r="12" customFormat="false" ht="15" hidden="false" customHeight="true" outlineLevel="0" collapsed="false">
      <c r="A12" s="18" t="s">
        <v>195</v>
      </c>
      <c r="B12" s="50"/>
      <c r="C12" s="50" t="n">
        <f aca="false">_Engine_R50!$B$277</f>
        <v>0.177771763690128</v>
      </c>
      <c r="D12" s="51"/>
      <c r="E12" s="50"/>
      <c r="F12" s="50" t="n">
        <f aca="false">_Engine_R50!$B$277</f>
        <v>0.177771763690128</v>
      </c>
      <c r="G12" s="51"/>
      <c r="H12" s="50"/>
      <c r="I12" s="50" t="n">
        <f aca="false">_Engine_R50!$B$277</f>
        <v>0.177771763690128</v>
      </c>
      <c r="J12" s="51"/>
      <c r="K12" s="1"/>
      <c r="L12" s="1"/>
    </row>
    <row r="13" customFormat="false" ht="15" hidden="false" customHeight="true" outlineLevel="0" collapsed="false">
      <c r="A13" s="18" t="s">
        <v>196</v>
      </c>
      <c r="B13" s="52"/>
      <c r="C13" s="52" t="n">
        <f aca="false">_Engine_R50!$B$254</f>
        <v>2.3673408877783</v>
      </c>
      <c r="D13" s="53"/>
      <c r="E13" s="52"/>
      <c r="F13" s="52" t="n">
        <f aca="false">_Engine_R50!$B$254</f>
        <v>2.3673408877783</v>
      </c>
      <c r="G13" s="53"/>
      <c r="H13" s="52"/>
      <c r="I13" s="52" t="n">
        <f aca="false">_Engine_R50!$B$254</f>
        <v>2.3673408877783</v>
      </c>
      <c r="J13" s="53"/>
      <c r="K13" s="1"/>
      <c r="L13" s="1"/>
    </row>
    <row r="14" customFormat="false" ht="15" hidden="false" customHeight="true" outlineLevel="0" collapsed="false">
      <c r="A14" s="17" t="s">
        <v>197</v>
      </c>
      <c r="B14" s="54"/>
      <c r="C14" s="54" t="n">
        <f aca="false">C13*C8</f>
        <v>11.8367044388915</v>
      </c>
      <c r="D14" s="55"/>
      <c r="E14" s="54"/>
      <c r="F14" s="54" t="n">
        <f aca="false">F13*F8</f>
        <v>23.673408877783</v>
      </c>
      <c r="G14" s="55"/>
      <c r="H14" s="54"/>
      <c r="I14" s="54" t="n">
        <f aca="false">I13*I8</f>
        <v>59.1835221944576</v>
      </c>
      <c r="J14" s="55"/>
      <c r="K14" s="1"/>
      <c r="L14" s="1"/>
    </row>
    <row r="15" customFormat="false" ht="15" hidden="false" customHeight="true" outlineLevel="0" collapsed="false">
      <c r="A15" s="17"/>
      <c r="B15" s="45"/>
      <c r="C15" s="45"/>
      <c r="E15" s="45"/>
      <c r="F15" s="45"/>
      <c r="H15" s="45"/>
      <c r="I15" s="45"/>
      <c r="K15" s="1"/>
      <c r="L15" s="1"/>
    </row>
    <row r="16" customFormat="false" ht="15" hidden="false" customHeight="true" outlineLevel="0" collapsed="false">
      <c r="A16" s="21" t="s">
        <v>198</v>
      </c>
      <c r="B16" s="56"/>
      <c r="C16" s="56"/>
      <c r="D16" s="3"/>
      <c r="E16" s="56"/>
      <c r="F16" s="56"/>
      <c r="G16" s="3"/>
      <c r="H16" s="56"/>
      <c r="I16" s="56"/>
      <c r="J16" s="3"/>
      <c r="K16" s="1"/>
      <c r="L16" s="1"/>
    </row>
    <row r="17" customFormat="false" ht="15" hidden="false" customHeight="true" outlineLevel="0" collapsed="false">
      <c r="A17" s="18" t="s">
        <v>195</v>
      </c>
      <c r="B17" s="50"/>
      <c r="C17" s="50" t="n">
        <f aca="false">_Engine_R50!$B$276</f>
        <v>0.194725922850455</v>
      </c>
      <c r="D17" s="51"/>
      <c r="E17" s="50"/>
      <c r="F17" s="50" t="n">
        <f aca="false">_Engine_R50!$B$276</f>
        <v>0.194725922850455</v>
      </c>
      <c r="G17" s="51"/>
      <c r="H17" s="50"/>
      <c r="I17" s="50" t="n">
        <f aca="false">_Engine_R50!$B$276</f>
        <v>0.194725922850455</v>
      </c>
      <c r="J17" s="51"/>
      <c r="K17" s="1"/>
      <c r="L17" s="1"/>
    </row>
    <row r="18" customFormat="false" ht="15" hidden="false" customHeight="true" outlineLevel="0" collapsed="false">
      <c r="A18" s="18" t="s">
        <v>196</v>
      </c>
      <c r="B18" s="52"/>
      <c r="C18" s="52" t="n">
        <f aca="false">_Engine_R50!$B$252</f>
        <v>2.9981272663194</v>
      </c>
      <c r="D18" s="53"/>
      <c r="E18" s="52"/>
      <c r="F18" s="52" t="n">
        <f aca="false">_Engine_R50!$B$252</f>
        <v>2.9981272663194</v>
      </c>
      <c r="G18" s="53"/>
      <c r="H18" s="52"/>
      <c r="I18" s="52" t="n">
        <f aca="false">_Engine_R50!$B$252</f>
        <v>2.9981272663194</v>
      </c>
      <c r="J18" s="53"/>
      <c r="K18" s="1"/>
      <c r="L18" s="1"/>
    </row>
    <row r="19" customFormat="false" ht="15" hidden="false" customHeight="true" outlineLevel="0" collapsed="false">
      <c r="A19" s="18" t="s">
        <v>199</v>
      </c>
      <c r="B19" s="57"/>
      <c r="C19" s="57" t="n">
        <f aca="false">C18*C8</f>
        <v>14.990636331597</v>
      </c>
      <c r="D19" s="58"/>
      <c r="E19" s="57"/>
      <c r="F19" s="57" t="n">
        <f aca="false">F18*F8</f>
        <v>29.981272663194</v>
      </c>
      <c r="G19" s="58"/>
      <c r="H19" s="57"/>
      <c r="I19" s="57" t="n">
        <f aca="false">I18*I8</f>
        <v>74.9531816579849</v>
      </c>
      <c r="J19" s="58"/>
      <c r="K19" s="1"/>
      <c r="L19" s="1"/>
    </row>
    <row r="20" customFormat="false" ht="15" hidden="false" customHeight="true" outlineLevel="0" collapsed="false">
      <c r="A20" s="18"/>
      <c r="B20" s="59"/>
      <c r="C20" s="59"/>
      <c r="E20" s="59"/>
      <c r="F20" s="59"/>
      <c r="H20" s="59"/>
      <c r="I20" s="59"/>
      <c r="K20" s="1"/>
      <c r="L20" s="1"/>
    </row>
    <row r="21" customFormat="false" ht="15" hidden="false" customHeight="true" outlineLevel="0" collapsed="false">
      <c r="A21" s="60" t="s">
        <v>200</v>
      </c>
      <c r="B21" s="61"/>
      <c r="C21" s="61"/>
      <c r="D21" s="3"/>
      <c r="E21" s="61"/>
      <c r="F21" s="61"/>
      <c r="G21" s="3"/>
      <c r="H21" s="61"/>
      <c r="I21" s="61"/>
      <c r="J21" s="3"/>
      <c r="K21" s="1"/>
      <c r="L21" s="1"/>
    </row>
    <row r="22" customFormat="false" ht="15" hidden="false" customHeight="true" outlineLevel="0" collapsed="false">
      <c r="A22" s="62" t="s">
        <v>201</v>
      </c>
      <c r="B22" s="63"/>
      <c r="C22" s="63"/>
      <c r="D22" s="64"/>
      <c r="E22" s="63"/>
      <c r="F22" s="65"/>
      <c r="G22" s="3"/>
      <c r="H22" s="66"/>
      <c r="I22" s="66"/>
      <c r="J22" s="3"/>
      <c r="K22" s="1"/>
      <c r="L22" s="1"/>
    </row>
    <row r="23" customFormat="false" ht="15" hidden="false" customHeight="true" outlineLevel="0" collapsed="false">
      <c r="A23" s="67"/>
      <c r="B23" s="67"/>
      <c r="C23" s="68"/>
      <c r="D23" s="69"/>
      <c r="E23" s="70"/>
      <c r="F23" s="71"/>
      <c r="K23" s="1"/>
      <c r="L23" s="1"/>
    </row>
    <row r="24" customFormat="false" ht="15" hidden="false" customHeight="true" outlineLevel="0" collapsed="false">
      <c r="A24" s="72"/>
      <c r="B24" s="72"/>
      <c r="C24" s="73"/>
      <c r="D24" s="74"/>
      <c r="E24" s="75"/>
      <c r="F24" s="76"/>
      <c r="G24" s="77"/>
      <c r="H24" s="78"/>
      <c r="I24" s="78"/>
      <c r="J24" s="77"/>
      <c r="K24" s="1"/>
      <c r="L24" s="1"/>
    </row>
    <row r="25" customFormat="false" ht="15" hidden="false" customHeight="true" outlineLevel="0" collapsed="false">
      <c r="A25" s="67"/>
      <c r="B25" s="67"/>
      <c r="C25" s="68"/>
      <c r="D25" s="69"/>
      <c r="E25" s="70"/>
      <c r="F25" s="71"/>
      <c r="H25" s="45"/>
      <c r="I25" s="45"/>
      <c r="K25" s="1"/>
      <c r="L25" s="1"/>
    </row>
    <row r="26" customFormat="false" ht="15" hidden="false" customHeight="true" outlineLevel="0" collapsed="false">
      <c r="A26" s="67"/>
      <c r="B26" s="67"/>
      <c r="C26" s="68"/>
      <c r="D26" s="69"/>
      <c r="E26" s="70"/>
      <c r="F26" s="71"/>
      <c r="H26" s="45"/>
      <c r="I26" s="45"/>
      <c r="K26" s="1"/>
      <c r="L26" s="1"/>
    </row>
    <row r="27" customFormat="false" ht="15" hidden="false" customHeight="true" outlineLevel="0" collapsed="false">
      <c r="A27" s="79"/>
      <c r="B27" s="79"/>
      <c r="C27" s="80"/>
      <c r="D27" s="81"/>
      <c r="E27" s="82"/>
      <c r="F27" s="83"/>
      <c r="G27" s="84"/>
      <c r="H27" s="85"/>
      <c r="I27" s="85"/>
      <c r="J27" s="84"/>
      <c r="K27" s="1"/>
      <c r="L27" s="1"/>
    </row>
    <row r="28" customFormat="false" ht="15" hidden="false" customHeight="true" outlineLevel="0" collapsed="false">
      <c r="A28" s="79"/>
      <c r="B28" s="79"/>
      <c r="C28" s="80"/>
      <c r="D28" s="81"/>
      <c r="E28" s="82"/>
      <c r="F28" s="83"/>
      <c r="G28" s="84"/>
      <c r="H28" s="85"/>
      <c r="I28" s="85"/>
      <c r="J28" s="84"/>
      <c r="K28" s="1"/>
      <c r="L28" s="1"/>
    </row>
    <row r="29" customFormat="false" ht="15" hidden="false" customHeight="true" outlineLevel="0" collapsed="false">
      <c r="A29" s="17"/>
      <c r="B29" s="45"/>
      <c r="C29" s="45"/>
      <c r="E29" s="45"/>
      <c r="F29" s="45"/>
      <c r="H29" s="45"/>
      <c r="I29" s="45"/>
      <c r="K29" s="1"/>
      <c r="L29" s="1"/>
    </row>
    <row r="30" customFormat="false" ht="15" hidden="false" customHeight="true" outlineLevel="0" collapsed="false">
      <c r="A30" s="64"/>
      <c r="B30" s="66"/>
      <c r="C30" s="66"/>
      <c r="D30" s="3"/>
      <c r="E30" s="66"/>
      <c r="F30" s="66"/>
      <c r="G30" s="3"/>
      <c r="H30" s="66"/>
      <c r="I30" s="66"/>
      <c r="J30" s="3"/>
      <c r="K30" s="1"/>
      <c r="L30" s="1"/>
    </row>
    <row r="31" customFormat="false" ht="15" hidden="false" customHeight="true" outlineLevel="0" collapsed="false">
      <c r="A31" s="86"/>
      <c r="B31" s="45" t="n">
        <v>0</v>
      </c>
      <c r="C31" s="45" t="n">
        <v>0</v>
      </c>
      <c r="D31" s="46" t="n">
        <v>0</v>
      </c>
      <c r="E31" s="45" t="n">
        <v>0</v>
      </c>
      <c r="F31" s="45" t="n">
        <v>0</v>
      </c>
      <c r="G31" s="46" t="n">
        <v>0</v>
      </c>
      <c r="H31" s="45" t="n">
        <v>0</v>
      </c>
      <c r="I31" s="45" t="n">
        <v>0</v>
      </c>
      <c r="J31" s="46" t="n">
        <v>0</v>
      </c>
      <c r="K31" s="1"/>
      <c r="L31" s="1"/>
    </row>
    <row r="32" customFormat="false" ht="15" hidden="false" customHeight="true" outlineLevel="0" collapsed="false">
      <c r="A32" s="86"/>
      <c r="B32" s="87"/>
      <c r="C32" s="87"/>
      <c r="D32" s="46" t="n">
        <v>0</v>
      </c>
      <c r="E32" s="87"/>
      <c r="F32" s="87"/>
      <c r="G32" s="46" t="n">
        <v>0</v>
      </c>
      <c r="H32" s="87"/>
      <c r="I32" s="87"/>
      <c r="J32" s="46" t="n">
        <v>0</v>
      </c>
      <c r="K32" s="1"/>
      <c r="L32" s="1"/>
    </row>
    <row r="33" customFormat="false" ht="15" hidden="false" customHeight="true" outlineLevel="0" collapsed="false">
      <c r="A33" s="86"/>
      <c r="B33" s="87"/>
      <c r="C33" s="87"/>
      <c r="D33" s="46" t="n">
        <v>0</v>
      </c>
      <c r="E33" s="87"/>
      <c r="F33" s="87"/>
      <c r="G33" s="46" t="n">
        <v>0</v>
      </c>
      <c r="H33" s="87"/>
      <c r="I33" s="87"/>
      <c r="J33" s="46" t="n">
        <v>0</v>
      </c>
      <c r="K33" s="1"/>
      <c r="L33" s="1"/>
    </row>
    <row r="34" customFormat="false" ht="15" hidden="false" customHeight="true" outlineLevel="0" collapsed="false">
      <c r="A34" s="86"/>
      <c r="B34" s="87"/>
      <c r="C34" s="87"/>
      <c r="D34" s="88"/>
      <c r="E34" s="87"/>
      <c r="F34" s="87"/>
      <c r="G34" s="88"/>
      <c r="H34" s="87"/>
      <c r="I34" s="87"/>
      <c r="J34" s="88"/>
      <c r="K34" s="1"/>
      <c r="L34" s="1"/>
    </row>
    <row r="35" customFormat="false" ht="15" hidden="false" customHeight="true" outlineLevel="0" collapsed="false">
      <c r="A35" s="86"/>
      <c r="B35" s="87"/>
      <c r="C35" s="87"/>
      <c r="D35" s="88"/>
      <c r="E35" s="87"/>
      <c r="F35" s="87"/>
      <c r="G35" s="88"/>
      <c r="H35" s="87"/>
      <c r="I35" s="87"/>
      <c r="J35" s="88"/>
      <c r="K35" s="1"/>
      <c r="L35" s="1"/>
    </row>
    <row r="36" customFormat="false" ht="15" hidden="false" customHeight="true" outlineLevel="0" collapsed="false">
      <c r="A36" s="86"/>
      <c r="B36" s="87"/>
      <c r="C36" s="87"/>
      <c r="D36" s="88"/>
      <c r="E36" s="87"/>
      <c r="F36" s="87"/>
      <c r="G36" s="88"/>
      <c r="H36" s="87"/>
      <c r="I36" s="87"/>
      <c r="J36" s="88"/>
      <c r="K36" s="1"/>
      <c r="L36" s="1"/>
    </row>
    <row r="37" customFormat="false" ht="15" hidden="false" customHeight="true" outlineLevel="0" collapsed="false">
      <c r="A37" s="86"/>
      <c r="B37" s="87"/>
      <c r="C37" s="87"/>
      <c r="D37" s="88"/>
      <c r="E37" s="87"/>
      <c r="F37" s="87"/>
      <c r="G37" s="88"/>
      <c r="H37" s="87"/>
      <c r="I37" s="87"/>
      <c r="J37" s="88"/>
      <c r="K37" s="1"/>
      <c r="L37" s="1"/>
    </row>
    <row r="38" customFormat="false" ht="15" hidden="false" customHeight="true" outlineLevel="0" collapsed="false">
      <c r="A38" s="86"/>
      <c r="B38" s="87"/>
      <c r="C38" s="87"/>
      <c r="D38" s="88"/>
      <c r="E38" s="87"/>
      <c r="F38" s="87"/>
      <c r="G38" s="88"/>
      <c r="H38" s="87"/>
      <c r="I38" s="87"/>
      <c r="J38" s="88"/>
      <c r="K38" s="1"/>
      <c r="L38" s="1"/>
    </row>
    <row r="39" customFormat="false" ht="15" hidden="false" customHeight="true" outlineLevel="0" collapsed="false">
      <c r="A39" s="86"/>
      <c r="B39" s="87"/>
      <c r="C39" s="87"/>
      <c r="D39" s="88"/>
      <c r="E39" s="87"/>
      <c r="F39" s="87"/>
      <c r="G39" s="88"/>
      <c r="H39" s="87"/>
      <c r="I39" s="87"/>
      <c r="J39" s="88"/>
      <c r="K39" s="1"/>
      <c r="L39" s="1"/>
    </row>
    <row r="40" customFormat="false" ht="15" hidden="false" customHeight="true" outlineLevel="0" collapsed="false">
      <c r="A40" s="86"/>
      <c r="B40" s="87"/>
      <c r="C40" s="87"/>
      <c r="D40" s="88"/>
      <c r="E40" s="87"/>
      <c r="F40" s="87"/>
      <c r="G40" s="88"/>
      <c r="H40" s="87"/>
      <c r="I40" s="87"/>
      <c r="J40" s="88"/>
      <c r="K40" s="1"/>
      <c r="L40" s="1"/>
    </row>
    <row r="41" customFormat="false" ht="15" hidden="false" customHeight="true" outlineLevel="0" collapsed="false">
      <c r="A41" s="86"/>
      <c r="B41" s="87"/>
      <c r="C41" s="87"/>
      <c r="D41" s="88"/>
      <c r="E41" s="87"/>
      <c r="F41" s="87"/>
      <c r="G41" s="88"/>
      <c r="H41" s="87"/>
      <c r="I41" s="87"/>
      <c r="J41" s="88"/>
      <c r="K41" s="1"/>
      <c r="L41" s="1"/>
    </row>
    <row r="42" customFormat="false" ht="15" hidden="false" customHeight="true" outlineLevel="0" collapsed="false">
      <c r="A42" s="86"/>
      <c r="B42" s="87"/>
      <c r="C42" s="87"/>
      <c r="D42" s="88"/>
      <c r="E42" s="87"/>
      <c r="F42" s="87"/>
      <c r="G42" s="88"/>
      <c r="H42" s="87"/>
      <c r="I42" s="87"/>
      <c r="J42" s="88"/>
      <c r="K42" s="1"/>
      <c r="L42" s="1"/>
    </row>
    <row r="43" customFormat="false" ht="15" hidden="false" customHeight="true" outlineLevel="0" collapsed="false">
      <c r="A43" s="86"/>
      <c r="B43" s="87"/>
      <c r="C43" s="87"/>
      <c r="D43" s="88"/>
      <c r="E43" s="87"/>
      <c r="F43" s="87"/>
      <c r="G43" s="88"/>
      <c r="H43" s="87"/>
      <c r="I43" s="87"/>
      <c r="J43" s="88"/>
      <c r="K43" s="1"/>
      <c r="L43" s="1"/>
    </row>
    <row r="44" customFormat="false" ht="15" hidden="false" customHeight="true" outlineLevel="0" collapsed="false">
      <c r="A44" s="86"/>
      <c r="B44" s="87"/>
      <c r="C44" s="87"/>
      <c r="D44" s="88"/>
      <c r="E44" s="87"/>
      <c r="F44" s="87"/>
      <c r="G44" s="88"/>
      <c r="H44" s="87"/>
      <c r="I44" s="87"/>
      <c r="J44" s="88"/>
      <c r="K44" s="1"/>
      <c r="L44" s="1"/>
    </row>
    <row r="45" customFormat="false" ht="15" hidden="false" customHeight="true" outlineLevel="0" collapsed="false">
      <c r="A45" s="86"/>
      <c r="B45" s="45" t="n">
        <v>0</v>
      </c>
      <c r="C45" s="87"/>
      <c r="D45" s="88"/>
      <c r="E45" s="45" t="n">
        <v>0</v>
      </c>
      <c r="F45" s="87"/>
      <c r="G45" s="88"/>
      <c r="H45" s="45" t="n">
        <v>0</v>
      </c>
      <c r="I45" s="87"/>
      <c r="J45" s="88"/>
      <c r="K45" s="1"/>
      <c r="L45" s="1"/>
    </row>
    <row r="46" customFormat="false" ht="15" hidden="false" customHeight="true" outlineLevel="0" collapsed="false">
      <c r="A46" s="17"/>
      <c r="B46" s="45"/>
      <c r="C46" s="45"/>
      <c r="E46" s="45"/>
      <c r="F46" s="45"/>
      <c r="H46" s="45"/>
      <c r="I46" s="45"/>
      <c r="K46" s="1"/>
      <c r="L46" s="1"/>
    </row>
    <row r="47" customFormat="false" ht="15" hidden="false" customHeight="true" outlineLevel="0" collapsed="false">
      <c r="A47" s="86"/>
      <c r="B47" s="45"/>
      <c r="C47" s="45"/>
      <c r="E47" s="45"/>
      <c r="F47" s="45"/>
      <c r="H47" s="45"/>
      <c r="I47" s="45"/>
      <c r="K47" s="1"/>
      <c r="L47" s="1"/>
    </row>
    <row r="48" customFormat="false" ht="15" hidden="false" customHeight="true" outlineLevel="0" collapsed="false">
      <c r="A48" s="17"/>
      <c r="B48" s="45"/>
      <c r="C48" s="45"/>
      <c r="E48" s="45"/>
      <c r="F48" s="45"/>
      <c r="H48" s="45"/>
      <c r="I48" s="45"/>
      <c r="K48" s="1"/>
      <c r="L48" s="1"/>
    </row>
    <row r="49" customFormat="false" ht="15" hidden="false" customHeight="true" outlineLevel="0" collapsed="false">
      <c r="A49" s="17"/>
      <c r="B49" s="45"/>
      <c r="C49" s="45"/>
      <c r="E49" s="45"/>
      <c r="F49" s="45"/>
      <c r="H49" s="45"/>
      <c r="I49" s="45"/>
      <c r="K49" s="1"/>
      <c r="L49" s="1"/>
    </row>
    <row r="50" customFormat="false" ht="15" hidden="false" customHeight="true" outlineLevel="0" collapsed="false">
      <c r="A50" s="34"/>
      <c r="B50" s="89"/>
      <c r="C50" s="89"/>
      <c r="D50" s="35"/>
      <c r="E50" s="89"/>
      <c r="F50" s="89"/>
      <c r="H50" s="45"/>
      <c r="I50" s="45"/>
      <c r="K50" s="1"/>
      <c r="L50" s="1"/>
    </row>
    <row r="51" customFormat="false" ht="27.75" hidden="false" customHeight="true" outlineLevel="0" collapsed="false">
      <c r="A51" s="90"/>
      <c r="B51" s="91"/>
      <c r="C51" s="91"/>
      <c r="D51" s="90"/>
      <c r="E51" s="91"/>
      <c r="F51" s="91"/>
      <c r="H51" s="45"/>
      <c r="I51" s="45"/>
      <c r="K51" s="1"/>
      <c r="L51" s="1"/>
    </row>
    <row r="52" customFormat="false" ht="15" hidden="false" customHeight="true" outlineLevel="0" collapsed="false">
      <c r="A52" s="92"/>
      <c r="B52" s="93"/>
      <c r="C52" s="93"/>
      <c r="D52" s="94"/>
      <c r="E52" s="93"/>
      <c r="F52" s="95"/>
      <c r="H52" s="45"/>
      <c r="I52" s="45"/>
      <c r="K52" s="1"/>
      <c r="L52" s="1"/>
    </row>
    <row r="53" customFormat="false" ht="15" hidden="false" customHeight="true" outlineLevel="0" collapsed="false">
      <c r="A53" s="92"/>
      <c r="B53" s="93"/>
      <c r="C53" s="93"/>
      <c r="D53" s="94"/>
      <c r="E53" s="93"/>
      <c r="F53" s="95"/>
      <c r="H53" s="45"/>
      <c r="I53" s="45"/>
      <c r="K53" s="1"/>
      <c r="L53" s="1"/>
    </row>
    <row r="54" customFormat="false" ht="15" hidden="false" customHeight="true" outlineLevel="0" collapsed="false">
      <c r="A54" s="92"/>
      <c r="B54" s="93"/>
      <c r="C54" s="93"/>
      <c r="D54" s="94"/>
      <c r="E54" s="93"/>
      <c r="F54" s="95"/>
      <c r="H54" s="45"/>
      <c r="I54" s="45"/>
      <c r="K54" s="1"/>
      <c r="L54" s="1"/>
    </row>
    <row r="55" customFormat="false" ht="15" hidden="false" customHeight="true" outlineLevel="0" collapsed="false">
      <c r="A55" s="92"/>
      <c r="B55" s="93"/>
      <c r="C55" s="93"/>
      <c r="D55" s="94"/>
      <c r="E55" s="93"/>
      <c r="F55" s="95"/>
      <c r="H55" s="45"/>
      <c r="I55" s="45"/>
      <c r="K55" s="1"/>
      <c r="L55" s="1"/>
    </row>
    <row r="56" customFormat="false" ht="15" hidden="false" customHeight="true" outlineLevel="0" collapsed="false">
      <c r="A56" s="5"/>
      <c r="B56" s="45"/>
      <c r="C56" s="45"/>
      <c r="E56" s="45"/>
      <c r="F56" s="45"/>
      <c r="H56" s="45"/>
      <c r="I56" s="45"/>
      <c r="K56" s="1"/>
      <c r="L56" s="1"/>
    </row>
    <row r="57" customFormat="false" ht="15" hidden="false" customHeight="true" outlineLevel="0" collapsed="false">
      <c r="A57" s="33"/>
      <c r="K57" s="1"/>
      <c r="L57" s="1"/>
    </row>
    <row r="58" customFormat="false" ht="15" hidden="false" customHeight="true" outlineLevel="0" collapsed="false">
      <c r="A58" s="33"/>
      <c r="K58" s="1"/>
      <c r="L58" s="1"/>
    </row>
    <row r="59" customFormat="false" ht="15" hidden="false" customHeight="true" outlineLevel="0" collapsed="false">
      <c r="K59" s="1"/>
      <c r="L59" s="1"/>
    </row>
    <row r="60" customFormat="false" ht="15" hidden="false" customHeight="true" outlineLevel="0" collapsed="false">
      <c r="K60" s="1"/>
      <c r="L60" s="1"/>
    </row>
    <row r="61" customFormat="false" ht="15" hidden="false" customHeight="true" outlineLevel="0" collapsed="false">
      <c r="K61" s="1"/>
      <c r="L61" s="1"/>
    </row>
    <row r="62" customFormat="false" ht="15" hidden="false" customHeight="true" outlineLevel="0" collapsed="false">
      <c r="K62" s="1"/>
      <c r="L62" s="1"/>
    </row>
    <row r="63" customFormat="false" ht="15" hidden="false" customHeight="true" outlineLevel="0" collapsed="false">
      <c r="K63" s="1"/>
      <c r="L63" s="1"/>
    </row>
    <row r="64" customFormat="false" ht="15" hidden="false" customHeight="true" outlineLevel="0" collapsed="false">
      <c r="K64" s="1"/>
      <c r="L64" s="1"/>
    </row>
    <row r="65" customFormat="false" ht="15" hidden="false" customHeight="true" outlineLevel="0" collapsed="false">
      <c r="K65" s="1"/>
      <c r="L65" s="1"/>
    </row>
    <row r="66" customFormat="false" ht="15" hidden="false" customHeight="true" outlineLevel="0" collapsed="false">
      <c r="K66" s="1"/>
      <c r="L66" s="1"/>
    </row>
    <row r="67" customFormat="false" ht="15" hidden="false" customHeight="true" outlineLevel="0" collapsed="false">
      <c r="K67" s="1"/>
      <c r="L67" s="1"/>
    </row>
    <row r="68" customFormat="false" ht="15" hidden="false" customHeight="true" outlineLevel="0" collapsed="false">
      <c r="K68" s="1"/>
      <c r="L68" s="1"/>
    </row>
    <row r="69" customFormat="false" ht="15" hidden="false" customHeight="true" outlineLevel="0" collapsed="false">
      <c r="K69" s="1"/>
      <c r="L69" s="1"/>
    </row>
    <row r="70" customFormat="false" ht="15" hidden="false" customHeight="true" outlineLevel="0" collapsed="false">
      <c r="K70" s="1"/>
      <c r="L70" s="1"/>
    </row>
    <row r="71" customFormat="false" ht="15" hidden="false" customHeight="true" outlineLevel="0" collapsed="false">
      <c r="K71" s="1"/>
      <c r="L71" s="1"/>
    </row>
    <row r="72" customFormat="false" ht="15" hidden="false" customHeight="true" outlineLevel="0" collapsed="false">
      <c r="K72" s="1"/>
      <c r="L72" s="1"/>
    </row>
    <row r="73" customFormat="false" ht="15" hidden="false" customHeight="true" outlineLevel="0" collapsed="false">
      <c r="K73" s="1"/>
      <c r="L73" s="1"/>
    </row>
    <row r="74" customFormat="false" ht="15" hidden="false" customHeight="true" outlineLevel="0" collapsed="false">
      <c r="K74" s="1"/>
      <c r="L74" s="1"/>
    </row>
    <row r="75" customFormat="false" ht="15" hidden="false" customHeight="true" outlineLevel="0" collapsed="false">
      <c r="K75" s="1"/>
      <c r="L75" s="1"/>
    </row>
    <row r="76" customFormat="false" ht="15" hidden="false" customHeight="true" outlineLevel="0" collapsed="false">
      <c r="K76" s="1"/>
      <c r="L76" s="1"/>
    </row>
    <row r="77" customFormat="false" ht="15" hidden="false" customHeight="true" outlineLevel="0" collapsed="false">
      <c r="K77" s="1"/>
      <c r="L77" s="1"/>
    </row>
    <row r="78" customFormat="false" ht="15" hidden="false" customHeight="true" outlineLevel="0" collapsed="false">
      <c r="K78" s="1"/>
      <c r="L78" s="1"/>
    </row>
    <row r="79" customFormat="false" ht="15" hidden="false" customHeight="true" outlineLevel="0" collapsed="false">
      <c r="K79" s="1"/>
      <c r="L79" s="1"/>
    </row>
  </sheetData>
  <mergeCells count="3">
    <mergeCell ref="B4:D4"/>
    <mergeCell ref="E4:G4"/>
    <mergeCell ref="H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1" min="2" style="1" width="12"/>
    <col collapsed="false" customWidth="true" hidden="false" outlineLevel="0" max="12" min="12" style="1" width="10"/>
    <col collapsed="false" customWidth="true" hidden="false" outlineLevel="0" max="13" min="13" style="1" width="8"/>
    <col collapsed="false" customWidth="true" hidden="false" outlineLevel="0" max="14" min="14" style="1" width="28"/>
  </cols>
  <sheetData>
    <row r="1" customFormat="false" ht="25.5" hidden="false" customHeight="true" outlineLevel="0" collapsed="false">
      <c r="A1" s="96" t="s">
        <v>202</v>
      </c>
      <c r="B1" s="3"/>
      <c r="C1" s="3"/>
      <c r="D1" s="3"/>
      <c r="E1" s="3"/>
      <c r="F1" s="3"/>
      <c r="G1" s="3"/>
      <c r="H1" s="3"/>
      <c r="I1" s="3"/>
      <c r="O1" s="1"/>
    </row>
    <row r="2" customFormat="false" ht="15" hidden="false" customHeight="true" outlineLevel="0" collapsed="false">
      <c r="A2" s="97" t="s">
        <v>203</v>
      </c>
      <c r="O2" s="1"/>
    </row>
    <row r="3" customFormat="false" ht="15" hidden="false" customHeight="true" outlineLevel="0" collapsed="false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O3" s="1"/>
    </row>
    <row r="4" customFormat="false" ht="19.5" hidden="false" customHeight="true" outlineLevel="0" collapsed="false">
      <c r="A4" s="43" t="s">
        <v>204</v>
      </c>
      <c r="B4" s="43" t="s">
        <v>111</v>
      </c>
      <c r="C4" s="43" t="s">
        <v>112</v>
      </c>
      <c r="D4" s="99" t="s">
        <v>205</v>
      </c>
      <c r="E4" s="100" t="s">
        <v>206</v>
      </c>
      <c r="F4" s="99" t="s">
        <v>207</v>
      </c>
      <c r="G4" s="101" t="s">
        <v>208</v>
      </c>
      <c r="H4" s="101" t="s">
        <v>209</v>
      </c>
      <c r="I4" s="101" t="s">
        <v>210</v>
      </c>
      <c r="J4" s="102"/>
      <c r="K4" s="103"/>
      <c r="L4" s="102"/>
      <c r="M4" s="102"/>
      <c r="N4" s="98"/>
      <c r="O4" s="1"/>
    </row>
    <row r="5" customFormat="false" ht="15" hidden="false" customHeight="true" outlineLevel="0" collapsed="false">
      <c r="A5" s="104" t="s">
        <v>117</v>
      </c>
      <c r="B5" s="105" t="n">
        <f aca="false">'1. Press Assumptions'!$D$89</f>
        <v>25</v>
      </c>
      <c r="C5" s="106" t="n">
        <f aca="false">'1. Press Assumptions'!$E$89</f>
        <v>2</v>
      </c>
      <c r="D5" s="107" t="n">
        <f aca="false">B5*C5</f>
        <v>50</v>
      </c>
      <c r="E5" s="108" t="n">
        <f aca="false">B5*0.1154*0.5</f>
        <v>1.4425</v>
      </c>
      <c r="F5" s="109" t="n">
        <f aca="false">D5-E5</f>
        <v>48.5575</v>
      </c>
      <c r="G5" s="110" t="n">
        <v>0.95</v>
      </c>
      <c r="H5" s="111" t="n">
        <v>0</v>
      </c>
      <c r="I5" s="110" t="str">
        <f aca="false">"M"&amp;'1. Press Assumptions'!$K$89</f>
        <v>M4</v>
      </c>
      <c r="J5" s="112"/>
      <c r="K5" s="113"/>
      <c r="L5" s="114"/>
      <c r="M5" s="113"/>
      <c r="N5" s="19"/>
      <c r="O5" s="1"/>
    </row>
    <row r="6" customFormat="false" ht="15" hidden="false" customHeight="true" outlineLevel="0" collapsed="false">
      <c r="A6" s="104" t="s">
        <v>120</v>
      </c>
      <c r="B6" s="105" t="n">
        <f aca="false">'1. Press Assumptions'!$D$90</f>
        <v>25</v>
      </c>
      <c r="C6" s="106" t="n">
        <f aca="false">'1. Press Assumptions'!$E$90</f>
        <v>1.5</v>
      </c>
      <c r="D6" s="107" t="n">
        <f aca="false">B6*C6</f>
        <v>37.5</v>
      </c>
      <c r="E6" s="108" t="n">
        <f aca="false">B6*0.1154*0.5</f>
        <v>1.4425</v>
      </c>
      <c r="F6" s="109" t="n">
        <f aca="false">D6-E6</f>
        <v>36.0575</v>
      </c>
      <c r="G6" s="110" t="n">
        <v>0.9</v>
      </c>
      <c r="H6" s="111" t="n">
        <v>0</v>
      </c>
      <c r="I6" s="110" t="str">
        <f aca="false">"M"&amp;'1. Press Assumptions'!$K$90</f>
        <v>M8</v>
      </c>
      <c r="J6" s="112"/>
      <c r="K6" s="113"/>
      <c r="L6" s="114"/>
      <c r="M6" s="113"/>
      <c r="N6" s="19"/>
      <c r="O6" s="1"/>
    </row>
    <row r="7" customFormat="false" ht="15" hidden="false" customHeight="true" outlineLevel="0" collapsed="false">
      <c r="A7" s="104" t="s">
        <v>123</v>
      </c>
      <c r="B7" s="105" t="n">
        <f aca="false">'1. Press Assumptions'!$D$91</f>
        <v>25</v>
      </c>
      <c r="C7" s="106" t="n">
        <f aca="false">'1. Press Assumptions'!$E$91</f>
        <v>1.25</v>
      </c>
      <c r="D7" s="107" t="n">
        <f aca="false">B7*C7</f>
        <v>31.25</v>
      </c>
      <c r="E7" s="108" t="n">
        <f aca="false">B7*0.1154*0.5</f>
        <v>1.4425</v>
      </c>
      <c r="F7" s="109" t="n">
        <f aca="false">D7-E7</f>
        <v>29.8075</v>
      </c>
      <c r="G7" s="110" t="n">
        <v>0.85</v>
      </c>
      <c r="H7" s="111" t="n">
        <v>0</v>
      </c>
      <c r="I7" s="110" t="str">
        <f aca="false">"M"&amp;'1. Press Assumptions'!$K$91</f>
        <v>M12</v>
      </c>
      <c r="J7" s="112"/>
      <c r="K7" s="113"/>
      <c r="L7" s="114"/>
      <c r="M7" s="113"/>
      <c r="N7" s="19"/>
      <c r="O7" s="1"/>
    </row>
    <row r="8" customFormat="false" ht="15" hidden="false" customHeight="true" outlineLevel="0" collapsed="false">
      <c r="A8" s="104" t="s">
        <v>126</v>
      </c>
      <c r="B8" s="105" t="n">
        <f aca="false">'1. Press Assumptions'!$D$92</f>
        <v>25</v>
      </c>
      <c r="C8" s="106" t="n">
        <f aca="false">'1. Press Assumptions'!$E$92</f>
        <v>1.25</v>
      </c>
      <c r="D8" s="107" t="n">
        <f aca="false">B8*C8</f>
        <v>31.25</v>
      </c>
      <c r="E8" s="108" t="n">
        <f aca="false">B8*0.1154*0.5</f>
        <v>1.4425</v>
      </c>
      <c r="F8" s="109" t="n">
        <f aca="false">D8-E8</f>
        <v>29.8075</v>
      </c>
      <c r="G8" s="110" t="n">
        <v>0.85</v>
      </c>
      <c r="H8" s="111" t="n">
        <v>0</v>
      </c>
      <c r="I8" s="110" t="str">
        <f aca="false">"M"&amp;'1. Press Assumptions'!$K$92</f>
        <v>M16</v>
      </c>
      <c r="J8" s="112"/>
      <c r="K8" s="113"/>
      <c r="L8" s="114"/>
      <c r="M8" s="113"/>
      <c r="N8" s="19"/>
      <c r="O8" s="1"/>
    </row>
    <row r="9" customFormat="false" ht="15" hidden="false" customHeight="true" outlineLevel="0" collapsed="false">
      <c r="A9" s="104" t="s">
        <v>211</v>
      </c>
      <c r="B9" s="105" t="n">
        <f aca="false">'1. Press Assumptions'!$D$93</f>
        <v>18</v>
      </c>
      <c r="C9" s="106" t="n">
        <f aca="false">'1. Press Assumptions'!$E$93</f>
        <v>2</v>
      </c>
      <c r="D9" s="107" t="n">
        <f aca="false">B9*C9</f>
        <v>36</v>
      </c>
      <c r="E9" s="108" t="n">
        <f aca="false">B9*0.1154*0.5</f>
        <v>1.0386</v>
      </c>
      <c r="F9" s="109" t="n">
        <f aca="false">D9-E9</f>
        <v>34.9614</v>
      </c>
      <c r="G9" s="110" t="n">
        <v>0.95</v>
      </c>
      <c r="H9" s="111" t="n">
        <v>0</v>
      </c>
      <c r="I9" s="110" t="str">
        <f aca="false">"M"&amp;'1. Press Assumptions'!$K$93</f>
        <v>M32</v>
      </c>
      <c r="J9" s="112"/>
      <c r="K9" s="113"/>
      <c r="L9" s="114"/>
      <c r="M9" s="115"/>
      <c r="N9" s="19"/>
      <c r="O9" s="1"/>
    </row>
    <row r="10" customFormat="false" ht="15" hidden="false" customHeight="true" outlineLevel="0" collapsed="false">
      <c r="A10" s="116"/>
      <c r="B10" s="117"/>
      <c r="C10" s="118"/>
      <c r="D10" s="118"/>
      <c r="E10" s="119"/>
      <c r="F10" s="120"/>
      <c r="G10" s="121"/>
      <c r="H10" s="122"/>
      <c r="I10" s="123"/>
      <c r="J10" s="117"/>
      <c r="K10" s="119"/>
      <c r="L10" s="124"/>
      <c r="O10" s="1"/>
    </row>
    <row r="11" customFormat="false" ht="15" hidden="false" customHeight="true" outlineLevel="0" collapsed="false">
      <c r="A11" s="125" t="s">
        <v>212</v>
      </c>
      <c r="B11" s="126" t="n">
        <f aca="false">SUM(B5:B9)</f>
        <v>118</v>
      </c>
      <c r="C11" s="127"/>
      <c r="D11" s="127" t="n">
        <f aca="false">SUM(D5:D9)</f>
        <v>186</v>
      </c>
      <c r="E11" s="128" t="n">
        <f aca="false">SUM(E5:E9)</f>
        <v>6.8086</v>
      </c>
      <c r="F11" s="129" t="n">
        <f aca="false">SUM(F5:F9)</f>
        <v>179.1914</v>
      </c>
      <c r="G11" s="128"/>
      <c r="H11" s="127"/>
      <c r="I11" s="130"/>
      <c r="J11" s="98"/>
      <c r="K11" s="131"/>
      <c r="L11" s="102"/>
      <c r="M11" s="98"/>
      <c r="O11" s="1"/>
    </row>
    <row r="12" customFormat="false" ht="15" hidden="false" customHeight="true" outlineLevel="0" collapsed="false">
      <c r="A12" s="104"/>
      <c r="B12" s="104"/>
      <c r="C12" s="132"/>
      <c r="D12" s="133"/>
      <c r="E12" s="134"/>
      <c r="F12" s="135"/>
      <c r="G12" s="113"/>
      <c r="H12" s="113"/>
      <c r="I12" s="113"/>
      <c r="J12" s="114"/>
      <c r="K12" s="133"/>
      <c r="L12" s="113"/>
      <c r="M12" s="113"/>
      <c r="O12" s="1"/>
    </row>
    <row r="13" customFormat="false" ht="15" hidden="false" customHeight="true" outlineLevel="0" collapsed="false">
      <c r="A13" s="136" t="s">
        <v>213</v>
      </c>
      <c r="B13" s="137"/>
      <c r="C13" s="138"/>
      <c r="D13" s="139"/>
      <c r="E13" s="140"/>
      <c r="F13" s="141"/>
      <c r="G13" s="142"/>
      <c r="H13" s="142"/>
      <c r="I13" s="142"/>
      <c r="J13" s="114"/>
      <c r="K13" s="133"/>
      <c r="L13" s="113"/>
      <c r="M13" s="113"/>
      <c r="O13" s="1"/>
    </row>
    <row r="14" customFormat="false" ht="19.5" hidden="false" customHeight="true" outlineLevel="0" collapsed="false">
      <c r="A14" s="43" t="s">
        <v>204</v>
      </c>
      <c r="B14" s="43" t="s">
        <v>111</v>
      </c>
      <c r="C14" s="43" t="s">
        <v>112</v>
      </c>
      <c r="D14" s="99" t="s">
        <v>205</v>
      </c>
      <c r="E14" s="100" t="s">
        <v>206</v>
      </c>
      <c r="F14" s="99" t="s">
        <v>207</v>
      </c>
      <c r="G14" s="101" t="s">
        <v>208</v>
      </c>
      <c r="H14" s="101" t="s">
        <v>209</v>
      </c>
      <c r="I14" s="101" t="s">
        <v>210</v>
      </c>
      <c r="J14" s="102"/>
      <c r="K14" s="103"/>
      <c r="L14" s="102"/>
      <c r="M14" s="102"/>
      <c r="N14" s="98"/>
      <c r="O14" s="1"/>
    </row>
    <row r="15" customFormat="false" ht="15" hidden="false" customHeight="true" outlineLevel="0" collapsed="false">
      <c r="A15" s="104" t="s">
        <v>132</v>
      </c>
      <c r="B15" s="105" t="n">
        <f aca="false">'1. Press Assumptions'!$D$96</f>
        <v>0</v>
      </c>
      <c r="C15" s="106" t="n">
        <f aca="false">'1. Press Assumptions'!$E$96</f>
        <v>2</v>
      </c>
      <c r="D15" s="143" t="n">
        <f aca="false">B15*C15</f>
        <v>0</v>
      </c>
      <c r="E15" s="108" t="n">
        <f aca="false">B15*0.1154*0.5</f>
        <v>0</v>
      </c>
      <c r="F15" s="144" t="n">
        <f aca="false">D15-E15</f>
        <v>0</v>
      </c>
      <c r="G15" s="110" t="n">
        <v>0.95</v>
      </c>
      <c r="H15" s="111" t="n">
        <v>0</v>
      </c>
      <c r="I15" s="110" t="str">
        <f aca="false">"M"&amp;'1. Press Assumptions'!$K$96</f>
        <v>M999</v>
      </c>
      <c r="J15" s="112"/>
      <c r="K15" s="113"/>
      <c r="L15" s="114"/>
      <c r="M15" s="113"/>
      <c r="N15" s="19"/>
      <c r="O15" s="1"/>
    </row>
    <row r="16" customFormat="false" ht="15" hidden="false" customHeight="true" outlineLevel="0" collapsed="false">
      <c r="A16" s="104" t="s">
        <v>135</v>
      </c>
      <c r="B16" s="105" t="n">
        <f aca="false">'1. Press Assumptions'!$D$97</f>
        <v>0</v>
      </c>
      <c r="C16" s="106" t="n">
        <f aca="false">'1. Press Assumptions'!$E$97</f>
        <v>2</v>
      </c>
      <c r="D16" s="143" t="n">
        <f aca="false">B16*C16</f>
        <v>0</v>
      </c>
      <c r="E16" s="108" t="n">
        <f aca="false">B16*0.1154*0.5</f>
        <v>0</v>
      </c>
      <c r="F16" s="144" t="n">
        <f aca="false">D16-E16</f>
        <v>0</v>
      </c>
      <c r="G16" s="110"/>
      <c r="H16" s="111" t="n">
        <v>0</v>
      </c>
      <c r="I16" s="110" t="str">
        <f aca="false">"M"&amp;'1. Press Assumptions'!$K$97</f>
        <v>M999</v>
      </c>
      <c r="J16" s="112"/>
      <c r="K16" s="113"/>
      <c r="L16" s="114"/>
      <c r="M16" s="115"/>
      <c r="N16" s="19"/>
      <c r="O16" s="1"/>
    </row>
    <row r="17" customFormat="false" ht="15" hidden="false" customHeight="true" outlineLevel="0" collapsed="false">
      <c r="A17" s="104" t="s">
        <v>137</v>
      </c>
      <c r="B17" s="105" t="n">
        <f aca="false">'1. Press Assumptions'!$D$98</f>
        <v>0</v>
      </c>
      <c r="C17" s="106" t="n">
        <f aca="false">'1. Press Assumptions'!$E$98</f>
        <v>2</v>
      </c>
      <c r="D17" s="143" t="n">
        <f aca="false">B17*C17</f>
        <v>0</v>
      </c>
      <c r="E17" s="108" t="n">
        <f aca="false">B17*0.1154*0.5</f>
        <v>0</v>
      </c>
      <c r="F17" s="144" t="n">
        <f aca="false">D17-E17</f>
        <v>0</v>
      </c>
      <c r="G17" s="110"/>
      <c r="H17" s="111" t="n">
        <v>0</v>
      </c>
      <c r="I17" s="110" t="str">
        <f aca="false">"M"&amp;'1. Press Assumptions'!$K$98</f>
        <v>M999</v>
      </c>
      <c r="J17" s="112"/>
      <c r="K17" s="113"/>
      <c r="L17" s="114"/>
      <c r="M17" s="115"/>
      <c r="N17" s="19"/>
      <c r="O17" s="1"/>
    </row>
    <row r="18" customFormat="false" ht="15" hidden="false" customHeight="true" outlineLevel="0" collapsed="false">
      <c r="A18" s="104" t="s">
        <v>139</v>
      </c>
      <c r="B18" s="105" t="n">
        <f aca="false">'1. Press Assumptions'!$D$99</f>
        <v>0</v>
      </c>
      <c r="C18" s="106" t="n">
        <f aca="false">'1. Press Assumptions'!$E$99</f>
        <v>2</v>
      </c>
      <c r="D18" s="143" t="n">
        <f aca="false">B18*C18</f>
        <v>0</v>
      </c>
      <c r="E18" s="108" t="n">
        <f aca="false">B18*0.1154*0.5</f>
        <v>0</v>
      </c>
      <c r="F18" s="144" t="n">
        <f aca="false">D18-E18</f>
        <v>0</v>
      </c>
      <c r="G18" s="110"/>
      <c r="H18" s="111" t="n">
        <v>0</v>
      </c>
      <c r="I18" s="110" t="str">
        <f aca="false">"M"&amp;'1. Press Assumptions'!$K$99</f>
        <v>M999</v>
      </c>
      <c r="J18" s="112"/>
      <c r="K18" s="113"/>
      <c r="L18" s="114"/>
      <c r="M18" s="115"/>
      <c r="N18" s="19"/>
      <c r="O18" s="1"/>
    </row>
    <row r="19" customFormat="false" ht="15" hidden="false" customHeight="true" outlineLevel="0" collapsed="false">
      <c r="A19" s="145"/>
      <c r="B19" s="132"/>
      <c r="C19" s="146"/>
      <c r="D19" s="147"/>
      <c r="E19" s="119"/>
      <c r="F19" s="120"/>
      <c r="G19" s="121"/>
      <c r="H19" s="122"/>
      <c r="I19" s="123"/>
      <c r="J19" s="117"/>
      <c r="K19" s="119"/>
      <c r="L19" s="124"/>
      <c r="O19" s="1"/>
    </row>
    <row r="20" customFormat="false" ht="15" hidden="false" customHeight="true" outlineLevel="0" collapsed="false">
      <c r="A20" s="145"/>
      <c r="B20" s="132"/>
      <c r="C20" s="146"/>
      <c r="D20" s="118"/>
      <c r="E20" s="119"/>
      <c r="F20" s="120"/>
      <c r="G20" s="121"/>
      <c r="H20" s="122"/>
      <c r="I20" s="123"/>
      <c r="J20" s="117"/>
      <c r="K20" s="119"/>
      <c r="L20" s="124"/>
      <c r="O20" s="1"/>
    </row>
    <row r="21" customFormat="false" ht="15" hidden="false" customHeight="true" outlineLevel="0" collapsed="false">
      <c r="A21" s="148"/>
      <c r="B21" s="132"/>
      <c r="C21" s="19"/>
      <c r="O21" s="1"/>
    </row>
    <row r="22" customFormat="false" ht="15" hidden="false" customHeight="true" outlineLevel="0" collapsed="false">
      <c r="A22" s="17"/>
      <c r="B22" s="132"/>
      <c r="C22" s="19"/>
      <c r="O22" s="1"/>
    </row>
    <row r="23" customFormat="false" ht="15" hidden="false" customHeight="true" outlineLevel="0" collapsed="false">
      <c r="A23" s="17"/>
      <c r="B23" s="132"/>
      <c r="C23" s="19"/>
      <c r="O23" s="1"/>
    </row>
    <row r="24" customFormat="false" ht="15" hidden="false" customHeight="true" outlineLevel="0" collapsed="false">
      <c r="A24" s="17"/>
      <c r="B24" s="132"/>
      <c r="C24" s="19"/>
      <c r="O24" s="1"/>
    </row>
    <row r="25" customFormat="false" ht="15" hidden="false" customHeight="true" outlineLevel="0" collapsed="false">
      <c r="A25" s="17"/>
      <c r="B25" s="132"/>
      <c r="C25" s="19"/>
      <c r="O25" s="1"/>
    </row>
    <row r="26" customFormat="false" ht="15" hidden="false" customHeight="true" outlineLevel="0" collapsed="false">
      <c r="A26" s="17"/>
      <c r="B26" s="132"/>
      <c r="C26" s="19"/>
      <c r="O26" s="1"/>
    </row>
    <row r="27" customFormat="false" ht="15" hidden="false" customHeight="true" outlineLevel="0" collapsed="false">
      <c r="A27" s="17"/>
      <c r="B27" s="132"/>
      <c r="C27" s="19"/>
      <c r="O27" s="1"/>
    </row>
    <row r="28" customFormat="false" ht="15" hidden="false" customHeight="true" outlineLevel="0" collapsed="false">
      <c r="O28" s="1"/>
    </row>
    <row r="29" customFormat="false" ht="15" hidden="false" customHeight="true" outlineLevel="0" collapsed="false">
      <c r="O29" s="1"/>
    </row>
    <row r="30" customFormat="false" ht="15" hidden="false" customHeight="true" outlineLevel="0" collapsed="false">
      <c r="A30" s="148"/>
      <c r="O30" s="1"/>
    </row>
    <row r="31" customFormat="false" ht="15" hidden="false" customHeight="true" outlineLevel="0" collapsed="false">
      <c r="A31" s="19"/>
      <c r="O31" s="1"/>
    </row>
    <row r="32" customFormat="false" ht="15" hidden="false" customHeight="true" outlineLevel="0" collapsed="false">
      <c r="O32" s="1"/>
    </row>
    <row r="33" customFormat="false" ht="15" hidden="false" customHeight="true" outlineLevel="0" collapsed="false">
      <c r="A33" s="18"/>
      <c r="B33" s="102"/>
      <c r="C33" s="102"/>
      <c r="D33" s="102"/>
      <c r="E33" s="102"/>
      <c r="F33" s="102"/>
      <c r="G33" s="102"/>
      <c r="H33" s="102"/>
      <c r="O33" s="1"/>
    </row>
    <row r="34" customFormat="false" ht="15" hidden="false" customHeight="true" outlineLevel="0" collapsed="false">
      <c r="A34" s="149"/>
      <c r="B34" s="150"/>
      <c r="C34" s="150"/>
      <c r="D34" s="150"/>
      <c r="E34" s="150"/>
      <c r="F34" s="150"/>
      <c r="G34" s="150"/>
      <c r="H34" s="150"/>
      <c r="O34" s="1"/>
    </row>
    <row r="35" customFormat="false" ht="15" hidden="false" customHeight="true" outlineLevel="0" collapsed="false">
      <c r="A35" s="149"/>
      <c r="B35" s="150"/>
      <c r="C35" s="150"/>
      <c r="D35" s="150"/>
      <c r="E35" s="151"/>
      <c r="F35" s="151"/>
      <c r="G35" s="151"/>
      <c r="H35" s="151"/>
      <c r="O35" s="1"/>
    </row>
    <row r="36" customFormat="false" ht="15" hidden="false" customHeight="true" outlineLevel="0" collapsed="false">
      <c r="A36" s="149"/>
      <c r="B36" s="150"/>
      <c r="C36" s="151"/>
      <c r="D36" s="151"/>
      <c r="E36" s="151"/>
      <c r="F36" s="151"/>
      <c r="G36" s="152"/>
      <c r="H36" s="152"/>
      <c r="O36" s="1"/>
    </row>
    <row r="37" customFormat="false" ht="15" hidden="false" customHeight="true" outlineLevel="0" collapsed="false">
      <c r="A37" s="149"/>
      <c r="B37" s="151"/>
      <c r="C37" s="151"/>
      <c r="D37" s="151"/>
      <c r="E37" s="152"/>
      <c r="F37" s="152"/>
      <c r="G37" s="152"/>
      <c r="H37" s="152"/>
      <c r="O37" s="1"/>
    </row>
    <row r="38" customFormat="false" ht="15" hidden="false" customHeight="true" outlineLevel="0" collapsed="false">
      <c r="A38" s="149"/>
      <c r="B38" s="151"/>
      <c r="C38" s="151"/>
      <c r="D38" s="152"/>
      <c r="E38" s="152"/>
      <c r="F38" s="152"/>
      <c r="G38" s="152"/>
      <c r="H38" s="152"/>
      <c r="O38" s="1"/>
    </row>
    <row r="39" customFormat="false" ht="15" hidden="false" customHeight="true" outlineLevel="0" collapsed="false">
      <c r="A39" s="149"/>
      <c r="B39" s="151"/>
      <c r="C39" s="152"/>
      <c r="D39" s="152"/>
      <c r="E39" s="152"/>
      <c r="F39" s="152"/>
      <c r="G39" s="152"/>
      <c r="H39" s="152"/>
      <c r="O39" s="1"/>
    </row>
    <row r="40" customFormat="false" ht="15" hidden="false" customHeight="true" outlineLevel="0" collapsed="false">
      <c r="A40" s="149"/>
      <c r="B40" s="153"/>
      <c r="C40" s="154"/>
      <c r="D40" s="154"/>
      <c r="E40" s="154"/>
      <c r="F40" s="154"/>
      <c r="G40" s="154"/>
      <c r="H40" s="154"/>
    </row>
    <row r="42" customFormat="false" ht="15" hidden="false" customHeight="true" outlineLevel="0" collapsed="false">
      <c r="A42" s="19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18" min="3" style="1" width="13"/>
  </cols>
  <sheetData>
    <row r="1" customFormat="false" ht="25.5" hidden="false" customHeight="true" outlineLevel="0" collapsed="false">
      <c r="A1" s="96" t="s">
        <v>215</v>
      </c>
      <c r="B1" s="3"/>
      <c r="C1" s="3"/>
      <c r="D1" s="3"/>
      <c r="E1" s="3"/>
      <c r="F1" s="3"/>
      <c r="G1" s="3"/>
      <c r="H1" s="3"/>
      <c r="I1" s="155"/>
      <c r="J1" s="3"/>
      <c r="K1" s="3"/>
      <c r="L1" s="3"/>
      <c r="M1" s="3"/>
      <c r="N1" s="3"/>
      <c r="O1" s="3"/>
      <c r="P1" s="3"/>
      <c r="Q1" s="3"/>
      <c r="R1" s="3"/>
      <c r="S1" s="1"/>
    </row>
    <row r="2" customFormat="false" ht="15" hidden="false" customHeight="true" outlineLevel="0" collapsed="false">
      <c r="A2" s="156" t="s">
        <v>216</v>
      </c>
      <c r="S2" s="1"/>
    </row>
    <row r="3" customFormat="false" ht="15" hidden="false" customHeight="true" outlineLevel="0" collapsed="false">
      <c r="A3" s="157" t="s">
        <v>217</v>
      </c>
      <c r="B3" s="43" t="s">
        <v>218</v>
      </c>
      <c r="C3" s="43" t="s">
        <v>219</v>
      </c>
      <c r="D3" s="43" t="s">
        <v>220</v>
      </c>
      <c r="E3" s="43" t="s">
        <v>221</v>
      </c>
      <c r="F3" s="43" t="s">
        <v>222</v>
      </c>
      <c r="G3" s="43" t="s">
        <v>223</v>
      </c>
      <c r="H3" s="43" t="s">
        <v>224</v>
      </c>
      <c r="I3" s="43" t="s">
        <v>225</v>
      </c>
      <c r="J3" s="43" t="s">
        <v>226</v>
      </c>
      <c r="K3" s="43" t="s">
        <v>227</v>
      </c>
      <c r="L3" s="43" t="s">
        <v>228</v>
      </c>
      <c r="M3" s="43" t="s">
        <v>229</v>
      </c>
      <c r="N3" s="43" t="s">
        <v>230</v>
      </c>
      <c r="O3" s="43" t="s">
        <v>231</v>
      </c>
      <c r="P3" s="43" t="s">
        <v>232</v>
      </c>
      <c r="Q3" s="43" t="s">
        <v>233</v>
      </c>
      <c r="S3" s="1"/>
    </row>
    <row r="4" customFormat="false" ht="15" hidden="false" customHeight="true" outlineLevel="0" collapsed="false">
      <c r="S4" s="1"/>
    </row>
    <row r="5" customFormat="false" ht="15" hidden="false" customHeight="true" outlineLevel="0" collapsed="false">
      <c r="A5" s="158" t="s">
        <v>234</v>
      </c>
      <c r="B5" s="159" t="n">
        <f aca="false">SUM(C5:Q5)</f>
        <v>888.499579904299</v>
      </c>
      <c r="C5" s="160" t="n">
        <f aca="false">_Engine_R50!B215</f>
        <v>30.7527327279255</v>
      </c>
      <c r="D5" s="160" t="n">
        <f aca="false">_Engine_R50!B216</f>
        <v>86.9993524454768</v>
      </c>
      <c r="E5" s="160" t="n">
        <f aca="false">_Engine_R50!B217</f>
        <v>90.3348887718087</v>
      </c>
      <c r="F5" s="160" t="n">
        <f aca="false">_Engine_R50!B218</f>
        <v>90.9345771127878</v>
      </c>
      <c r="G5" s="160" t="n">
        <f aca="false">_Engine_R50!B219</f>
        <v>82.0602171582867</v>
      </c>
      <c r="H5" s="160" t="n">
        <f aca="false">_Engine_R50!B220</f>
        <v>74.2325321282141</v>
      </c>
      <c r="I5" s="160" t="n">
        <f aca="false">_Engine_R50!B221</f>
        <v>67.3133635111557</v>
      </c>
      <c r="J5" s="160" t="n">
        <f aca="false">_Engine_R50!B222</f>
        <v>61.1838725586656</v>
      </c>
      <c r="K5" s="160" t="n">
        <f aca="false">_Engine_R50!B223</f>
        <v>55.741758709246</v>
      </c>
      <c r="L5" s="160" t="n">
        <f aca="false">_Engine_R50!B224</f>
        <v>50.8988848105361</v>
      </c>
      <c r="M5" s="160" t="n">
        <f aca="false">_Engine_R50!B225</f>
        <v>46.579249103763</v>
      </c>
      <c r="N5" s="160" t="n">
        <f aca="false">_Engine_R50!B226</f>
        <v>42.7172528445282</v>
      </c>
      <c r="O5" s="160" t="n">
        <f aca="false">_Engine_R50!B227</f>
        <v>39.2562200168985</v>
      </c>
      <c r="P5" s="160" t="n">
        <f aca="false">_Engine_R50!B228</f>
        <v>36.1471320516936</v>
      </c>
      <c r="Q5" s="160" t="n">
        <f aca="false">_Engine_R50!B229</f>
        <v>33.3475459533125</v>
      </c>
      <c r="S5" s="1"/>
    </row>
    <row r="6" customFormat="false" ht="15" hidden="false" customHeight="true" outlineLevel="0" collapsed="false">
      <c r="A6" s="161" t="s">
        <v>235</v>
      </c>
      <c r="B6" s="162" t="n">
        <f aca="false">SUM(C6:Q6)</f>
        <v>88.8499579904299</v>
      </c>
      <c r="C6" s="163" t="n">
        <f aca="false">_Engine_R50!C215</f>
        <v>3.07527327279255</v>
      </c>
      <c r="D6" s="163" t="n">
        <f aca="false">_Engine_R50!C216</f>
        <v>8.69993524454768</v>
      </c>
      <c r="E6" s="163" t="n">
        <f aca="false">_Engine_R50!C217</f>
        <v>9.03348887718087</v>
      </c>
      <c r="F6" s="163" t="n">
        <f aca="false">_Engine_R50!C218</f>
        <v>9.09345771127878</v>
      </c>
      <c r="G6" s="163" t="n">
        <f aca="false">_Engine_R50!C219</f>
        <v>8.20602171582867</v>
      </c>
      <c r="H6" s="163" t="n">
        <f aca="false">_Engine_R50!C220</f>
        <v>7.42325321282141</v>
      </c>
      <c r="I6" s="163" t="n">
        <f aca="false">_Engine_R50!C221</f>
        <v>6.73133635111558</v>
      </c>
      <c r="J6" s="163" t="n">
        <f aca="false">_Engine_R50!C222</f>
        <v>6.11838725586656</v>
      </c>
      <c r="K6" s="163" t="n">
        <f aca="false">_Engine_R50!C223</f>
        <v>5.57417587092461</v>
      </c>
      <c r="L6" s="163" t="n">
        <f aca="false">_Engine_R50!C224</f>
        <v>5.08988848105361</v>
      </c>
      <c r="M6" s="163" t="n">
        <f aca="false">_Engine_R50!C225</f>
        <v>4.6579249103763</v>
      </c>
      <c r="N6" s="163" t="n">
        <f aca="false">_Engine_R50!C226</f>
        <v>4.27172528445282</v>
      </c>
      <c r="O6" s="163" t="n">
        <f aca="false">_Engine_R50!C227</f>
        <v>3.92562200168985</v>
      </c>
      <c r="P6" s="163" t="n">
        <f aca="false">_Engine_R50!C228</f>
        <v>3.61471320516936</v>
      </c>
      <c r="Q6" s="163" t="n">
        <f aca="false">_Engine_R50!C229</f>
        <v>3.33475459533124</v>
      </c>
      <c r="S6" s="1"/>
    </row>
    <row r="7" customFormat="false" ht="15" hidden="false" customHeight="true" outlineLevel="0" collapsed="false">
      <c r="A7" s="164" t="s">
        <v>236</v>
      </c>
      <c r="B7" s="165" t="n">
        <f aca="false">SUM(C7:Q7)</f>
        <v>799.649621913869</v>
      </c>
      <c r="C7" s="166" t="n">
        <f aca="false">C5-C6</f>
        <v>27.6774594551329</v>
      </c>
      <c r="D7" s="166" t="n">
        <f aca="false">D5-D6</f>
        <v>78.2994172009291</v>
      </c>
      <c r="E7" s="166" t="n">
        <f aca="false">E5-E6</f>
        <v>81.3013998946278</v>
      </c>
      <c r="F7" s="166" t="n">
        <f aca="false">F5-F6</f>
        <v>81.841119401509</v>
      </c>
      <c r="G7" s="166" t="n">
        <f aca="false">G5-G6</f>
        <v>73.854195442458</v>
      </c>
      <c r="H7" s="166" t="n">
        <f aca="false">H5-H6</f>
        <v>66.8092789153927</v>
      </c>
      <c r="I7" s="166" t="n">
        <f aca="false">I5-I6</f>
        <v>60.5820271600402</v>
      </c>
      <c r="J7" s="166" t="n">
        <f aca="false">J5-J6</f>
        <v>55.065485302799</v>
      </c>
      <c r="K7" s="166" t="n">
        <f aca="false">K5-K6</f>
        <v>50.1675828383214</v>
      </c>
      <c r="L7" s="166" t="n">
        <f aca="false">L5-L6</f>
        <v>45.8089963294825</v>
      </c>
      <c r="M7" s="166" t="n">
        <f aca="false">M5-M6</f>
        <v>41.9213241933867</v>
      </c>
      <c r="N7" s="166" t="n">
        <f aca="false">N5-N6</f>
        <v>38.4455275600753</v>
      </c>
      <c r="O7" s="166" t="n">
        <f aca="false">O5-O6</f>
        <v>35.3305980152086</v>
      </c>
      <c r="P7" s="166" t="n">
        <f aca="false">P5-P6</f>
        <v>32.5324188465242</v>
      </c>
      <c r="Q7" s="166" t="n">
        <f aca="false">Q5-Q6</f>
        <v>30.0127913579812</v>
      </c>
      <c r="R7" s="167"/>
      <c r="S7" s="1"/>
    </row>
    <row r="8" customFormat="false" ht="15" hidden="false" customHeight="true" outlineLevel="0" collapsed="false">
      <c r="A8" s="168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S8" s="1"/>
    </row>
    <row r="9" customFormat="false" ht="15" hidden="false" customHeight="true" outlineLevel="0" collapsed="false">
      <c r="A9" s="21" t="s">
        <v>237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3"/>
      <c r="S9" s="1"/>
    </row>
    <row r="10" customFormat="false" ht="15" hidden="false" customHeight="true" outlineLevel="0" collapsed="false">
      <c r="A10" s="161" t="s">
        <v>238</v>
      </c>
      <c r="B10" s="170" t="n">
        <f aca="false">SUM(C10:Q10)</f>
        <v>44.4249789952149</v>
      </c>
      <c r="C10" s="163" t="n">
        <f aca="false">_Engine_R50!D215</f>
        <v>1.53763663639627</v>
      </c>
      <c r="D10" s="163" t="n">
        <f aca="false">_Engine_R50!D216</f>
        <v>4.34996762227384</v>
      </c>
      <c r="E10" s="163" t="n">
        <f aca="false">_Engine_R50!D217</f>
        <v>4.51674443859044</v>
      </c>
      <c r="F10" s="163" t="n">
        <f aca="false">_Engine_R50!D218</f>
        <v>4.54672885563939</v>
      </c>
      <c r="G10" s="163" t="n">
        <f aca="false">_Engine_R50!D219</f>
        <v>4.10301085791434</v>
      </c>
      <c r="H10" s="163" t="n">
        <f aca="false">_Engine_R50!D220</f>
        <v>3.71162660641071</v>
      </c>
      <c r="I10" s="163" t="n">
        <f aca="false">_Engine_R50!D221</f>
        <v>3.36566817555779</v>
      </c>
      <c r="J10" s="163" t="n">
        <f aca="false">_Engine_R50!D222</f>
        <v>3.05919362793328</v>
      </c>
      <c r="K10" s="163" t="n">
        <f aca="false">_Engine_R50!D223</f>
        <v>2.7870879354623</v>
      </c>
      <c r="L10" s="163" t="n">
        <f aca="false">_Engine_R50!D224</f>
        <v>2.54494424052681</v>
      </c>
      <c r="M10" s="163" t="n">
        <f aca="false">_Engine_R50!D225</f>
        <v>2.32896245518815</v>
      </c>
      <c r="N10" s="163" t="n">
        <f aca="false">_Engine_R50!D226</f>
        <v>2.13586264222641</v>
      </c>
      <c r="O10" s="163" t="n">
        <f aca="false">_Engine_R50!D227</f>
        <v>1.96281100084492</v>
      </c>
      <c r="P10" s="163" t="n">
        <f aca="false">_Engine_R50!D228</f>
        <v>1.80735660258468</v>
      </c>
      <c r="Q10" s="163" t="n">
        <f aca="false">_Engine_R50!D229</f>
        <v>1.66737729766562</v>
      </c>
      <c r="S10" s="1"/>
    </row>
    <row r="11" customFormat="false" ht="15" hidden="false" customHeight="true" outlineLevel="0" collapsed="false">
      <c r="A11" s="161" t="s">
        <v>239</v>
      </c>
      <c r="B11" s="170" t="n">
        <f aca="false">SUM(C11:Q11)</f>
        <v>53.3099747942579</v>
      </c>
      <c r="C11" s="163" t="n">
        <f aca="false">_Engine_R50!E215</f>
        <v>1.84516396367553</v>
      </c>
      <c r="D11" s="163" t="n">
        <f aca="false">_Engine_R50!E216</f>
        <v>5.21996114672861</v>
      </c>
      <c r="E11" s="163" t="n">
        <f aca="false">_Engine_R50!E217</f>
        <v>5.42009332630852</v>
      </c>
      <c r="F11" s="163" t="n">
        <f aca="false">_Engine_R50!E218</f>
        <v>5.45607462676727</v>
      </c>
      <c r="G11" s="163" t="n">
        <f aca="false">_Engine_R50!E219</f>
        <v>4.9236130294972</v>
      </c>
      <c r="H11" s="163" t="n">
        <f aca="false">_Engine_R50!E220</f>
        <v>4.45395192769285</v>
      </c>
      <c r="I11" s="163" t="n">
        <f aca="false">_Engine_R50!E221</f>
        <v>4.03880181066934</v>
      </c>
      <c r="J11" s="163" t="n">
        <f aca="false">_Engine_R50!E222</f>
        <v>3.67103235351993</v>
      </c>
      <c r="K11" s="163" t="n">
        <f aca="false">_Engine_R50!E223</f>
        <v>3.34450552255476</v>
      </c>
      <c r="L11" s="163" t="n">
        <f aca="false">_Engine_R50!E224</f>
        <v>3.05393308863217</v>
      </c>
      <c r="M11" s="163" t="n">
        <f aca="false">_Engine_R50!E225</f>
        <v>2.79475494622578</v>
      </c>
      <c r="N11" s="163" t="n">
        <f aca="false">_Engine_R50!E226</f>
        <v>2.56303517067169</v>
      </c>
      <c r="O11" s="163" t="n">
        <f aca="false">_Engine_R50!E227</f>
        <v>2.35537320101391</v>
      </c>
      <c r="P11" s="163" t="n">
        <f aca="false">_Engine_R50!E228</f>
        <v>2.16882792310162</v>
      </c>
      <c r="Q11" s="163" t="n">
        <f aca="false">_Engine_R50!E229</f>
        <v>2.00085275719875</v>
      </c>
      <c r="S11" s="1"/>
    </row>
    <row r="12" customFormat="false" ht="15" hidden="false" customHeight="true" outlineLevel="0" collapsed="false">
      <c r="A12" s="161" t="s">
        <v>240</v>
      </c>
      <c r="B12" s="170" t="n">
        <f aca="false">SUM(C12:Q12)</f>
        <v>110.3347938</v>
      </c>
      <c r="C12" s="163" t="n">
        <f aca="false">_Engine_R50!F215</f>
        <v>3.4572699</v>
      </c>
      <c r="D12" s="163" t="n">
        <f aca="false">_Engine_R50!F216</f>
        <v>7.5965239</v>
      </c>
      <c r="E12" s="163" t="n">
        <f aca="false">_Engine_R50!F217</f>
        <v>7.637</v>
      </c>
      <c r="F12" s="163" t="n">
        <f aca="false">_Engine_R50!F218</f>
        <v>7.637</v>
      </c>
      <c r="G12" s="163" t="n">
        <f aca="false">_Engine_R50!F219</f>
        <v>7.637</v>
      </c>
      <c r="H12" s="163" t="n">
        <f aca="false">_Engine_R50!F220</f>
        <v>7.637</v>
      </c>
      <c r="I12" s="163" t="n">
        <f aca="false">_Engine_R50!F221</f>
        <v>7.637</v>
      </c>
      <c r="J12" s="163" t="n">
        <f aca="false">_Engine_R50!F222</f>
        <v>7.637</v>
      </c>
      <c r="K12" s="163" t="n">
        <f aca="false">_Engine_R50!F223</f>
        <v>7.637</v>
      </c>
      <c r="L12" s="163" t="n">
        <f aca="false">_Engine_R50!F224</f>
        <v>7.637</v>
      </c>
      <c r="M12" s="163" t="n">
        <f aca="false">_Engine_R50!F225</f>
        <v>7.637</v>
      </c>
      <c r="N12" s="163" t="n">
        <f aca="false">_Engine_R50!F226</f>
        <v>7.637</v>
      </c>
      <c r="O12" s="163" t="n">
        <f aca="false">_Engine_R50!F227</f>
        <v>7.637</v>
      </c>
      <c r="P12" s="163" t="n">
        <f aca="false">_Engine_R50!F228</f>
        <v>7.637</v>
      </c>
      <c r="Q12" s="163" t="n">
        <f aca="false">_Engine_R50!F229</f>
        <v>7.637</v>
      </c>
      <c r="S12" s="1"/>
    </row>
    <row r="13" customFormat="false" ht="15" hidden="false" customHeight="true" outlineLevel="0" collapsed="false">
      <c r="A13" s="161" t="s">
        <v>241</v>
      </c>
      <c r="B13" s="170" t="n">
        <f aca="false">SUM(C13:Q13)</f>
        <v>30.9166666666667</v>
      </c>
      <c r="C13" s="163" t="n">
        <f aca="false">_Engine_R50!G215</f>
        <v>9.95555555555556</v>
      </c>
      <c r="D13" s="163" t="n">
        <f aca="false">_Engine_R50!G216</f>
        <v>12.3925925925926</v>
      </c>
      <c r="E13" s="163" t="n">
        <f aca="false">_Engine_R50!G217</f>
        <v>6.31296296296296</v>
      </c>
      <c r="F13" s="163" t="n">
        <f aca="false">_Engine_R50!G218</f>
        <v>1.98333333333333</v>
      </c>
      <c r="G13" s="163" t="n">
        <f aca="false">_Engine_R50!G219</f>
        <v>0.272222222222222</v>
      </c>
      <c r="H13" s="163" t="n">
        <f aca="false">_Engine_R50!G220</f>
        <v>0</v>
      </c>
      <c r="I13" s="163" t="n">
        <f aca="false">_Engine_R50!G221</f>
        <v>0</v>
      </c>
      <c r="J13" s="163" t="n">
        <f aca="false">_Engine_R50!G222</f>
        <v>0</v>
      </c>
      <c r="K13" s="163" t="n">
        <f aca="false">_Engine_R50!G223</f>
        <v>0</v>
      </c>
      <c r="L13" s="163" t="n">
        <f aca="false">_Engine_R50!G224</f>
        <v>0</v>
      </c>
      <c r="M13" s="163" t="n">
        <f aca="false">_Engine_R50!G225</f>
        <v>0</v>
      </c>
      <c r="N13" s="163" t="n">
        <f aca="false">_Engine_R50!G226</f>
        <v>0</v>
      </c>
      <c r="O13" s="163" t="n">
        <f aca="false">_Engine_R50!G227</f>
        <v>0</v>
      </c>
      <c r="P13" s="163" t="n">
        <f aca="false">_Engine_R50!G228</f>
        <v>0</v>
      </c>
      <c r="Q13" s="163" t="n">
        <f aca="false">_Engine_R50!G229</f>
        <v>0</v>
      </c>
      <c r="S13" s="1"/>
    </row>
    <row r="14" customFormat="false" ht="15" hidden="false" customHeight="true" outlineLevel="0" collapsed="false">
      <c r="A14" s="17" t="s">
        <v>242</v>
      </c>
      <c r="B14" s="170" t="n">
        <f aca="false">SUM(C14:Q14)</f>
        <v>0</v>
      </c>
      <c r="C14" s="46" t="n">
        <f aca="false">_Engine_R50!H215</f>
        <v>0</v>
      </c>
      <c r="D14" s="46" t="n">
        <f aca="false">_Engine_R50!H216</f>
        <v>0</v>
      </c>
      <c r="E14" s="46" t="n">
        <f aca="false">_Engine_R50!H217</f>
        <v>0</v>
      </c>
      <c r="F14" s="46" t="n">
        <f aca="false">_Engine_R50!H218</f>
        <v>0</v>
      </c>
      <c r="G14" s="46" t="n">
        <f aca="false">_Engine_R50!H219</f>
        <v>0</v>
      </c>
      <c r="H14" s="46" t="n">
        <f aca="false">_Engine_R50!H220</f>
        <v>0</v>
      </c>
      <c r="I14" s="46" t="n">
        <f aca="false">_Engine_R50!H221</f>
        <v>0</v>
      </c>
      <c r="J14" s="46" t="n">
        <f aca="false">_Engine_R50!H222</f>
        <v>0</v>
      </c>
      <c r="K14" s="46" t="n">
        <f aca="false">_Engine_R50!H223</f>
        <v>0</v>
      </c>
      <c r="L14" s="46" t="n">
        <f aca="false">_Engine_R50!H224</f>
        <v>0</v>
      </c>
      <c r="M14" s="46" t="n">
        <f aca="false">_Engine_R50!H225</f>
        <v>0</v>
      </c>
      <c r="N14" s="46" t="n">
        <f aca="false">_Engine_R50!H226</f>
        <v>0</v>
      </c>
      <c r="O14" s="46" t="n">
        <f aca="false">_Engine_R50!H227</f>
        <v>0</v>
      </c>
      <c r="P14" s="46" t="n">
        <f aca="false">_Engine_R50!H228</f>
        <v>0</v>
      </c>
      <c r="Q14" s="46" t="n">
        <f aca="false">_Engine_R50!H229</f>
        <v>0</v>
      </c>
      <c r="S14" s="1"/>
    </row>
    <row r="15" customFormat="false" ht="15" hidden="false" customHeight="true" outlineLevel="0" collapsed="false">
      <c r="A15" s="171" t="s">
        <v>243</v>
      </c>
      <c r="B15" s="172" t="n">
        <f aca="false">SUM(C15:Q15)</f>
        <v>238.98641425614</v>
      </c>
      <c r="C15" s="173" t="n">
        <f aca="false">C10+C11+C12+C13+C14</f>
        <v>16.7956260556274</v>
      </c>
      <c r="D15" s="173" t="n">
        <f aca="false">D10+D11+D12+D13+D14</f>
        <v>29.559045261595</v>
      </c>
      <c r="E15" s="173" t="n">
        <f aca="false">E10+E11+E12+E13+E14</f>
        <v>23.8868007278619</v>
      </c>
      <c r="F15" s="173" t="n">
        <f aca="false">F10+F11+F12+F13+F14</f>
        <v>19.62313681574</v>
      </c>
      <c r="G15" s="173" t="n">
        <f aca="false">G10+G11+G12+G13+G14</f>
        <v>16.9358461096338</v>
      </c>
      <c r="H15" s="173" t="n">
        <f aca="false">H10+H11+H12+H13+H14</f>
        <v>15.8025785341036</v>
      </c>
      <c r="I15" s="173" t="n">
        <f aca="false">I10+I11+I12+I13+I14</f>
        <v>15.0414699862271</v>
      </c>
      <c r="J15" s="173" t="n">
        <f aca="false">J10+J11+J12+J13+J14</f>
        <v>14.3672259814532</v>
      </c>
      <c r="K15" s="173" t="n">
        <f aca="false">K10+K11+K12+K13+K14</f>
        <v>13.7685934580171</v>
      </c>
      <c r="L15" s="173" t="n">
        <f aca="false">L10+L11+L12+L13+L14</f>
        <v>13.235877329159</v>
      </c>
      <c r="M15" s="173" t="n">
        <f aca="false">M10+M11+M12+M13+M14</f>
        <v>12.7607174014139</v>
      </c>
      <c r="N15" s="173" t="n">
        <f aca="false">N10+N11+N12+N13+N14</f>
        <v>12.3358978128981</v>
      </c>
      <c r="O15" s="173" t="n">
        <f aca="false">O10+O11+O12+O13+O14</f>
        <v>11.9551842018588</v>
      </c>
      <c r="P15" s="173" t="n">
        <f aca="false">P10+P11+P12+P13+P14</f>
        <v>11.6131845256863</v>
      </c>
      <c r="Q15" s="173" t="n">
        <f aca="false">Q10+Q11+Q12+Q13+Q14</f>
        <v>11.3052300548644</v>
      </c>
      <c r="R15" s="174"/>
      <c r="S15" s="1"/>
    </row>
    <row r="16" customFormat="false" ht="15" hidden="false" customHeight="true" outlineLevel="0" collapsed="false">
      <c r="A16" s="10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S16" s="1"/>
    </row>
    <row r="17" customFormat="false" ht="15" hidden="false" customHeight="true" outlineLevel="0" collapsed="false">
      <c r="A17" s="18" t="s">
        <v>244</v>
      </c>
      <c r="B17" s="176" t="n">
        <f aca="false">SUM(C17:Q17)</f>
        <v>560.663207657729</v>
      </c>
      <c r="C17" s="177" t="n">
        <f aca="false">_Engine_R50!I215</f>
        <v>10.8818333995056</v>
      </c>
      <c r="D17" s="177" t="n">
        <f aca="false">_Engine_R50!I216</f>
        <v>48.7403719393341</v>
      </c>
      <c r="E17" s="177" t="n">
        <f aca="false">_Engine_R50!I217</f>
        <v>57.4145991667659</v>
      </c>
      <c r="F17" s="177" t="n">
        <f aca="false">_Engine_R50!I218</f>
        <v>62.217982585769</v>
      </c>
      <c r="G17" s="177" t="n">
        <f aca="false">_Engine_R50!I219</f>
        <v>56.9183493328243</v>
      </c>
      <c r="H17" s="177" t="n">
        <f aca="false">_Engine_R50!I220</f>
        <v>51.0067003812892</v>
      </c>
      <c r="I17" s="177" t="n">
        <f aca="false">_Engine_R50!I221</f>
        <v>45.540557173813</v>
      </c>
      <c r="J17" s="177" t="n">
        <f aca="false">_Engine_R50!I222</f>
        <v>40.6982593213458</v>
      </c>
      <c r="K17" s="177" t="n">
        <f aca="false">_Engine_R50!I223</f>
        <v>36.3989893803044</v>
      </c>
      <c r="L17" s="177" t="n">
        <f aca="false">_Engine_R50!I224</f>
        <v>32.5731190003235</v>
      </c>
      <c r="M17" s="177" t="n">
        <f aca="false">_Engine_R50!I225</f>
        <v>29.1606067919728</v>
      </c>
      <c r="N17" s="177" t="n">
        <f aca="false">_Engine_R50!I226</f>
        <v>26.1096297471772</v>
      </c>
      <c r="O17" s="177" t="n">
        <f aca="false">_Engine_R50!I227</f>
        <v>23.3754138133498</v>
      </c>
      <c r="P17" s="177" t="n">
        <f aca="false">_Engine_R50!I228</f>
        <v>20.9192343208379</v>
      </c>
      <c r="Q17" s="177" t="n">
        <f aca="false">_Engine_R50!I229</f>
        <v>18.7075613031168</v>
      </c>
      <c r="S17" s="1"/>
    </row>
    <row r="18" customFormat="false" ht="15" hidden="false" customHeight="true" outlineLevel="0" collapsed="false">
      <c r="A18" s="17" t="s">
        <v>245</v>
      </c>
      <c r="B18" s="178" t="n">
        <f aca="false">B17/B5</f>
        <v>0.631022479175645</v>
      </c>
      <c r="C18" s="23" t="n">
        <f aca="false">IF(C5=0,0,C17/C5)</f>
        <v>0.353849314653724</v>
      </c>
      <c r="D18" s="23" t="n">
        <f aca="false">IF(D5=0,0,D17/D5)</f>
        <v>0.560238330163205</v>
      </c>
      <c r="E18" s="23" t="n">
        <f aca="false">IF(E5=0,0,E17/E5)</f>
        <v>0.635575024748175</v>
      </c>
      <c r="F18" s="23" t="n">
        <f aca="false">IF(F5=0,0,F17/F5)</f>
        <v>0.68420599249721</v>
      </c>
      <c r="G18" s="23" t="n">
        <f aca="false">IF(G5=0,0,G17/G5)</f>
        <v>0.693616849965605</v>
      </c>
      <c r="H18" s="23" t="n">
        <f aca="false">IF(H5=0,0,H17/H5)</f>
        <v>0.687120577985816</v>
      </c>
      <c r="I18" s="23" t="n">
        <f aca="false">IF(I5=0,0,I17/I5)</f>
        <v>0.676545559430642</v>
      </c>
      <c r="J18" s="23" t="n">
        <f aca="false">IF(J5=0,0,J17/J5)</f>
        <v>0.665179525573878</v>
      </c>
      <c r="K18" s="23" t="n">
        <f aca="false">IF(K5=0,0,K17/K5)</f>
        <v>0.652993199769041</v>
      </c>
      <c r="L18" s="23" t="n">
        <f aca="false">IF(L5=0,0,L17/L5)</f>
        <v>0.639957419923292</v>
      </c>
      <c r="M18" s="23" t="n">
        <f aca="false">IF(M5=0,0,M17/M5)</f>
        <v>0.626042870013054</v>
      </c>
      <c r="N18" s="23" t="n">
        <f aca="false">IF(N5=0,0,N17/N5)</f>
        <v>0.611219776754013</v>
      </c>
      <c r="O18" s="23" t="n">
        <f aca="false">IF(O5=0,0,O17/O5)</f>
        <v>0.595457581073457</v>
      </c>
      <c r="P18" s="23" t="n">
        <f aca="false">IF(P5=0,0,P17/P5)</f>
        <v>0.578724593998815</v>
      </c>
      <c r="Q18" s="23" t="n">
        <f aca="false">IF(Q5=0,0,Q17/Q5)</f>
        <v>0.560987645966752</v>
      </c>
      <c r="S18" s="1"/>
    </row>
    <row r="19" customFormat="false" ht="15" hidden="false" customHeight="true" outlineLevel="0" collapsed="false">
      <c r="A19" s="7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S19" s="1"/>
    </row>
    <row r="20" customFormat="false" ht="15" hidden="false" customHeight="true" outlineLevel="0" collapsed="false">
      <c r="A20" s="17" t="s">
        <v>246</v>
      </c>
      <c r="B20" s="170" t="n">
        <f aca="false">SUM(C20:Q20)</f>
        <v>12.25</v>
      </c>
      <c r="C20" s="46" t="n">
        <f aca="false">_Engine_R50!J215</f>
        <v>7.35</v>
      </c>
      <c r="D20" s="46" t="n">
        <f aca="false">_Engine_R50!J216</f>
        <v>2.45</v>
      </c>
      <c r="E20" s="46" t="n">
        <f aca="false">_Engine_R50!J217</f>
        <v>2.45</v>
      </c>
      <c r="F20" s="46" t="n">
        <f aca="false">_Engine_R50!J218</f>
        <v>0</v>
      </c>
      <c r="G20" s="46" t="n">
        <f aca="false">_Engine_R50!J219</f>
        <v>0</v>
      </c>
      <c r="H20" s="46" t="n">
        <f aca="false">_Engine_R50!J220</f>
        <v>0</v>
      </c>
      <c r="I20" s="46" t="n">
        <f aca="false">_Engine_R50!J221</f>
        <v>0</v>
      </c>
      <c r="J20" s="46" t="n">
        <f aca="false">_Engine_R50!J222</f>
        <v>0</v>
      </c>
      <c r="K20" s="46" t="n">
        <f aca="false">_Engine_R50!J223</f>
        <v>0</v>
      </c>
      <c r="L20" s="46" t="n">
        <f aca="false">_Engine_R50!J224</f>
        <v>0</v>
      </c>
      <c r="M20" s="46" t="n">
        <f aca="false">_Engine_R50!J225</f>
        <v>0</v>
      </c>
      <c r="N20" s="46" t="n">
        <f aca="false">_Engine_R50!J226</f>
        <v>0</v>
      </c>
      <c r="O20" s="46" t="n">
        <f aca="false">_Engine_R50!J227</f>
        <v>0</v>
      </c>
      <c r="P20" s="46" t="n">
        <f aca="false">_Engine_R50!J228</f>
        <v>0</v>
      </c>
      <c r="Q20" s="46" t="n">
        <f aca="false">_Engine_R50!J229</f>
        <v>0</v>
      </c>
      <c r="S20" s="1"/>
    </row>
    <row r="21" customFormat="false" ht="15" hidden="false" customHeight="true" outlineLevel="0" collapsed="false">
      <c r="A21" s="179" t="s">
        <v>247</v>
      </c>
      <c r="B21" s="180" t="n">
        <f aca="false">B17-B20</f>
        <v>548.413207657729</v>
      </c>
      <c r="C21" s="181" t="n">
        <f aca="false">C17-C20</f>
        <v>3.53183339950556</v>
      </c>
      <c r="D21" s="181" t="n">
        <f aca="false">D17-D20</f>
        <v>46.2903719393341</v>
      </c>
      <c r="E21" s="181" t="n">
        <f aca="false">E17-E20</f>
        <v>54.9645991667659</v>
      </c>
      <c r="F21" s="181" t="n">
        <f aca="false">F17-F20</f>
        <v>62.217982585769</v>
      </c>
      <c r="G21" s="181" t="n">
        <f aca="false">G17-G20</f>
        <v>56.9183493328243</v>
      </c>
      <c r="H21" s="181" t="n">
        <f aca="false">H17-H20</f>
        <v>51.0067003812892</v>
      </c>
      <c r="I21" s="181" t="n">
        <f aca="false">I17-I20</f>
        <v>45.540557173813</v>
      </c>
      <c r="J21" s="181" t="n">
        <f aca="false">J17-J20</f>
        <v>40.6982593213458</v>
      </c>
      <c r="K21" s="181" t="n">
        <f aca="false">K17-K20</f>
        <v>36.3989893803044</v>
      </c>
      <c r="L21" s="181" t="n">
        <f aca="false">L17-L20</f>
        <v>32.5731190003235</v>
      </c>
      <c r="M21" s="181" t="n">
        <f aca="false">M17-M20</f>
        <v>29.1606067919728</v>
      </c>
      <c r="N21" s="181" t="n">
        <f aca="false">N17-N20</f>
        <v>26.1096297471772</v>
      </c>
      <c r="O21" s="181" t="n">
        <f aca="false">O17-O20</f>
        <v>23.3754138133498</v>
      </c>
      <c r="P21" s="181" t="n">
        <f aca="false">P17-P20</f>
        <v>20.9192343208379</v>
      </c>
      <c r="Q21" s="181" t="n">
        <f aca="false">Q17-Q20</f>
        <v>18.7075613031168</v>
      </c>
      <c r="R21" s="167"/>
      <c r="S21" s="1"/>
    </row>
    <row r="22" customFormat="false" ht="15" hidden="false" customHeight="true" outlineLevel="0" collapsed="false">
      <c r="A22" s="10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S22" s="1"/>
    </row>
    <row r="23" customFormat="false" ht="15" hidden="false" customHeight="true" outlineLevel="0" collapsed="false">
      <c r="A23" s="17" t="s">
        <v>248</v>
      </c>
      <c r="B23" s="170" t="n">
        <f aca="false">SUM(C23:Q23)</f>
        <v>4.5</v>
      </c>
      <c r="C23" s="46" t="n">
        <f aca="false">_Engine_R50!K215</f>
        <v>3</v>
      </c>
      <c r="D23" s="46" t="n">
        <f aca="false">_Engine_R50!K216</f>
        <v>1.5</v>
      </c>
      <c r="E23" s="46" t="n">
        <f aca="false">_Engine_R50!K217</f>
        <v>0</v>
      </c>
      <c r="F23" s="46" t="n">
        <f aca="false">_Engine_R50!K218</f>
        <v>0</v>
      </c>
      <c r="G23" s="46" t="n">
        <f aca="false">_Engine_R50!K219</f>
        <v>0</v>
      </c>
      <c r="H23" s="46" t="n">
        <f aca="false">_Engine_R50!K220</f>
        <v>0</v>
      </c>
      <c r="I23" s="46" t="n">
        <f aca="false">_Engine_R50!K221</f>
        <v>0</v>
      </c>
      <c r="J23" s="46" t="n">
        <f aca="false">_Engine_R50!K222</f>
        <v>0</v>
      </c>
      <c r="K23" s="46" t="n">
        <f aca="false">_Engine_R50!K223</f>
        <v>0</v>
      </c>
      <c r="L23" s="46" t="n">
        <f aca="false">_Engine_R50!K224</f>
        <v>0</v>
      </c>
      <c r="M23" s="46" t="n">
        <f aca="false">_Engine_R50!K225</f>
        <v>0</v>
      </c>
      <c r="N23" s="46" t="n">
        <f aca="false">_Engine_R50!K226</f>
        <v>0</v>
      </c>
      <c r="O23" s="46" t="n">
        <f aca="false">_Engine_R50!K227</f>
        <v>0</v>
      </c>
      <c r="P23" s="46" t="n">
        <f aca="false">_Engine_R50!K228</f>
        <v>0</v>
      </c>
      <c r="Q23" s="46" t="n">
        <f aca="false">_Engine_R50!K229</f>
        <v>0</v>
      </c>
      <c r="S23" s="1"/>
    </row>
    <row r="24" customFormat="false" ht="15" hidden="false" customHeight="true" outlineLevel="0" collapsed="false">
      <c r="A24" s="17" t="s">
        <v>249</v>
      </c>
      <c r="B24" s="170" t="n">
        <f aca="false">SUM(C24:Q24)</f>
        <v>42.8370425029901</v>
      </c>
      <c r="C24" s="46" t="n">
        <f aca="false">_Engine_R50!M215</f>
        <v>2.9830483640566</v>
      </c>
      <c r="D24" s="46" t="n">
        <f aca="false">_Engine_R50!M216</f>
        <v>22.395185969667</v>
      </c>
      <c r="E24" s="46" t="n">
        <f aca="false">_Engine_R50!M217</f>
        <v>17.4588081692664</v>
      </c>
      <c r="F24" s="46" t="n">
        <f aca="false">_Engine_R50!M218</f>
        <v>0</v>
      </c>
      <c r="G24" s="46" t="n">
        <f aca="false">_Engine_R50!M219</f>
        <v>0</v>
      </c>
      <c r="H24" s="46" t="n">
        <f aca="false">_Engine_R50!M220</f>
        <v>0</v>
      </c>
      <c r="I24" s="46" t="n">
        <f aca="false">_Engine_R50!M221</f>
        <v>0</v>
      </c>
      <c r="J24" s="46" t="n">
        <f aca="false">_Engine_R50!M222</f>
        <v>0</v>
      </c>
      <c r="K24" s="46" t="n">
        <f aca="false">_Engine_R50!M223</f>
        <v>0</v>
      </c>
      <c r="L24" s="46" t="n">
        <f aca="false">_Engine_R50!M224</f>
        <v>0</v>
      </c>
      <c r="M24" s="46" t="n">
        <f aca="false">_Engine_R50!M225</f>
        <v>0</v>
      </c>
      <c r="N24" s="46" t="n">
        <f aca="false">_Engine_R50!M226</f>
        <v>0</v>
      </c>
      <c r="O24" s="46" t="n">
        <f aca="false">_Engine_R50!M227</f>
        <v>0</v>
      </c>
      <c r="P24" s="46" t="n">
        <f aca="false">_Engine_R50!M228</f>
        <v>0</v>
      </c>
      <c r="Q24" s="46" t="n">
        <f aca="false">_Engine_R50!M229</f>
        <v>0</v>
      </c>
      <c r="S24" s="1"/>
    </row>
    <row r="25" customFormat="false" ht="15" hidden="false" customHeight="true" outlineLevel="0" collapsed="false">
      <c r="A25" s="171" t="s">
        <v>250</v>
      </c>
      <c r="B25" s="172" t="n">
        <f aca="false">SUM(C25:Q25)</f>
        <v>508.951807657729</v>
      </c>
      <c r="C25" s="173" t="n">
        <f aca="false">_Engine_R50!P215</f>
        <v>-2.45121496455104</v>
      </c>
      <c r="D25" s="173" t="n">
        <f aca="false">_Engine_R50!P216</f>
        <v>22.395185969667</v>
      </c>
      <c r="E25" s="173" t="n">
        <f aca="false">_Engine_R50!P217</f>
        <v>45.3814335004896</v>
      </c>
      <c r="F25" s="173" t="n">
        <f aca="false">_Engine_R50!P218</f>
        <v>62.217982585769</v>
      </c>
      <c r="G25" s="173" t="n">
        <f aca="false">_Engine_R50!P219</f>
        <v>56.9183493328243</v>
      </c>
      <c r="H25" s="173" t="n">
        <f aca="false">_Engine_R50!P220</f>
        <v>51.0067003812892</v>
      </c>
      <c r="I25" s="173" t="n">
        <f aca="false">_Engine_R50!P221</f>
        <v>45.540557173813</v>
      </c>
      <c r="J25" s="173" t="n">
        <f aca="false">_Engine_R50!P222</f>
        <v>40.6982593213458</v>
      </c>
      <c r="K25" s="173" t="n">
        <f aca="false">_Engine_R50!P223</f>
        <v>36.3989893803044</v>
      </c>
      <c r="L25" s="173" t="n">
        <f aca="false">_Engine_R50!P224</f>
        <v>32.5731190003235</v>
      </c>
      <c r="M25" s="173" t="n">
        <f aca="false">_Engine_R50!P225</f>
        <v>29.1606067919728</v>
      </c>
      <c r="N25" s="173" t="n">
        <f aca="false">_Engine_R50!P226</f>
        <v>26.1096297471772</v>
      </c>
      <c r="O25" s="173" t="n">
        <f aca="false">_Engine_R50!P227</f>
        <v>23.3754138133498</v>
      </c>
      <c r="P25" s="173" t="n">
        <f aca="false">_Engine_R50!P228</f>
        <v>20.9192343208379</v>
      </c>
      <c r="Q25" s="173" t="n">
        <f aca="false">_Engine_R50!P229</f>
        <v>18.7075613031168</v>
      </c>
      <c r="R25" s="174"/>
      <c r="S25" s="1"/>
    </row>
    <row r="26" customFormat="false" ht="15" hidden="false" customHeight="true" outlineLevel="0" collapsed="false">
      <c r="A26" s="17" t="s">
        <v>251</v>
      </c>
      <c r="B26" s="170" t="n">
        <f aca="false">Q26</f>
        <v>508.951807657729</v>
      </c>
      <c r="C26" s="46" t="n">
        <f aca="false">C25</f>
        <v>-2.45121496455104</v>
      </c>
      <c r="D26" s="46" t="n">
        <f aca="false">C26+D25</f>
        <v>19.943971005116</v>
      </c>
      <c r="E26" s="46" t="n">
        <f aca="false">D26+E25</f>
        <v>65.3254045056056</v>
      </c>
      <c r="F26" s="46" t="n">
        <f aca="false">E26+F25</f>
        <v>127.543387091375</v>
      </c>
      <c r="G26" s="46" t="n">
        <f aca="false">F26+G25</f>
        <v>184.461736424199</v>
      </c>
      <c r="H26" s="46" t="n">
        <f aca="false">G26+H25</f>
        <v>235.468436805488</v>
      </c>
      <c r="I26" s="46" t="n">
        <f aca="false">H26+I25</f>
        <v>281.008993979301</v>
      </c>
      <c r="J26" s="46" t="n">
        <f aca="false">I26+J25</f>
        <v>321.707253300647</v>
      </c>
      <c r="K26" s="46" t="n">
        <f aca="false">J26+K25</f>
        <v>358.106242680951</v>
      </c>
      <c r="L26" s="46" t="n">
        <f aca="false">K26+L25</f>
        <v>390.679361681275</v>
      </c>
      <c r="M26" s="46" t="n">
        <f aca="false">L26+M25</f>
        <v>419.839968473248</v>
      </c>
      <c r="N26" s="46" t="n">
        <f aca="false">M26+N25</f>
        <v>445.949598220425</v>
      </c>
      <c r="O26" s="46" t="n">
        <f aca="false">N26+O25</f>
        <v>469.325012033775</v>
      </c>
      <c r="P26" s="46" t="n">
        <f aca="false">O26+P25</f>
        <v>490.244246354613</v>
      </c>
      <c r="Q26" s="46" t="n">
        <f aca="false">P26+Q25</f>
        <v>508.951807657729</v>
      </c>
      <c r="S26" s="1"/>
    </row>
    <row r="27" customFormat="false" ht="15" hidden="false" customHeight="true" outlineLevel="0" collapsed="false">
      <c r="A27" s="10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S27" s="1"/>
    </row>
    <row r="28" customFormat="false" ht="15" hidden="false" customHeight="true" outlineLevel="0" collapsed="false">
      <c r="A28" s="7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S28" s="1"/>
    </row>
    <row r="29" customFormat="false" ht="15" hidden="false" customHeight="true" outlineLevel="0" collapsed="false">
      <c r="A29" s="10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S29" s="1"/>
    </row>
    <row r="30" customFormat="false" ht="15" hidden="false" customHeight="true" outlineLevel="0" collapsed="false">
      <c r="S30" s="1"/>
    </row>
    <row r="31" customFormat="false" ht="15" hidden="false" customHeight="true" outlineLevel="0" collapsed="false">
      <c r="S31" s="1"/>
    </row>
    <row r="32" customFormat="false" ht="15" hidden="false" customHeight="true" outlineLevel="0" collapsed="false">
      <c r="S32" s="1"/>
    </row>
    <row r="33" customFormat="false" ht="15" hidden="false" customHeight="true" outlineLevel="0" collapsed="false">
      <c r="S33" s="1"/>
    </row>
    <row r="34" customFormat="false" ht="15" hidden="false" customHeight="true" outlineLevel="0" collapsed="false">
      <c r="S34" s="1"/>
    </row>
    <row r="35" customFormat="false" ht="15" hidden="false" customHeight="true" outlineLevel="0" collapsed="false">
      <c r="S35" s="1"/>
    </row>
    <row r="36" customFormat="false" ht="15" hidden="false" customHeight="true" outlineLevel="0" collapsed="false">
      <c r="S36" s="1"/>
    </row>
    <row r="37" customFormat="false" ht="15" hidden="false" customHeight="true" outlineLevel="0" collapsed="false">
      <c r="S37" s="1"/>
    </row>
    <row r="38" customFormat="false" ht="15" hidden="false" customHeight="true" outlineLevel="0" collapsed="false">
      <c r="S38" s="1"/>
    </row>
    <row r="39" customFormat="false" ht="15" hidden="false" customHeight="true" outlineLevel="0" collapsed="false">
      <c r="S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81" min="2" style="1" width="10"/>
  </cols>
  <sheetData>
    <row r="1" customFormat="false" ht="15.75" hidden="false" customHeight="true" outlineLevel="0" collapsed="false">
      <c r="A1" s="41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FZ1" s="1"/>
    </row>
    <row r="2" customFormat="false" ht="15" hidden="false" customHeight="true" outlineLevel="0" collapsed="false">
      <c r="FZ2" s="1"/>
    </row>
    <row r="3" customFormat="false" ht="15" hidden="false" customHeight="true" outlineLevel="0" collapsed="false">
      <c r="A3" s="44" t="s">
        <v>217</v>
      </c>
      <c r="B3" s="43" t="s">
        <v>253</v>
      </c>
      <c r="C3" s="43" t="s">
        <v>254</v>
      </c>
      <c r="D3" s="43" t="s">
        <v>255</v>
      </c>
      <c r="E3" s="43" t="s">
        <v>119</v>
      </c>
      <c r="F3" s="43" t="s">
        <v>256</v>
      </c>
      <c r="G3" s="43" t="s">
        <v>257</v>
      </c>
      <c r="H3" s="43" t="s">
        <v>122</v>
      </c>
      <c r="I3" s="43" t="s">
        <v>258</v>
      </c>
      <c r="J3" s="43" t="s">
        <v>259</v>
      </c>
      <c r="K3" s="43" t="s">
        <v>125</v>
      </c>
      <c r="L3" s="43" t="s">
        <v>260</v>
      </c>
      <c r="M3" s="43" t="s">
        <v>127</v>
      </c>
      <c r="N3" s="43" t="s">
        <v>261</v>
      </c>
      <c r="O3" s="43" t="s">
        <v>262</v>
      </c>
      <c r="P3" s="43" t="s">
        <v>263</v>
      </c>
      <c r="Q3" s="43" t="s">
        <v>130</v>
      </c>
      <c r="R3" s="43" t="s">
        <v>264</v>
      </c>
      <c r="S3" s="43" t="s">
        <v>265</v>
      </c>
      <c r="T3" s="43" t="s">
        <v>266</v>
      </c>
      <c r="U3" s="43" t="s">
        <v>267</v>
      </c>
      <c r="V3" s="43" t="s">
        <v>268</v>
      </c>
      <c r="W3" s="43" t="s">
        <v>269</v>
      </c>
      <c r="X3" s="43" t="s">
        <v>270</v>
      </c>
      <c r="Y3" s="43" t="s">
        <v>134</v>
      </c>
      <c r="Z3" s="43" t="s">
        <v>271</v>
      </c>
      <c r="AA3" s="43" t="s">
        <v>272</v>
      </c>
      <c r="AB3" s="43" t="s">
        <v>273</v>
      </c>
      <c r="AC3" s="43" t="s">
        <v>136</v>
      </c>
      <c r="AD3" s="43" t="s">
        <v>274</v>
      </c>
      <c r="AE3" s="43" t="s">
        <v>275</v>
      </c>
      <c r="AF3" s="43" t="s">
        <v>276</v>
      </c>
      <c r="AG3" s="43" t="s">
        <v>138</v>
      </c>
      <c r="AH3" s="43" t="s">
        <v>277</v>
      </c>
      <c r="AI3" s="43" t="s">
        <v>278</v>
      </c>
      <c r="AJ3" s="43" t="s">
        <v>279</v>
      </c>
      <c r="AK3" s="43" t="s">
        <v>140</v>
      </c>
      <c r="AL3" s="43" t="s">
        <v>280</v>
      </c>
      <c r="AM3" s="43" t="s">
        <v>281</v>
      </c>
      <c r="AN3" s="43" t="s">
        <v>282</v>
      </c>
      <c r="AO3" s="43" t="s">
        <v>283</v>
      </c>
      <c r="AP3" s="43" t="s">
        <v>284</v>
      </c>
      <c r="AQ3" s="43" t="s">
        <v>285</v>
      </c>
      <c r="AR3" s="43" t="s">
        <v>286</v>
      </c>
      <c r="AS3" s="43" t="s">
        <v>287</v>
      </c>
      <c r="AT3" s="43" t="s">
        <v>288</v>
      </c>
      <c r="AU3" s="43" t="s">
        <v>289</v>
      </c>
      <c r="AV3" s="43" t="s">
        <v>290</v>
      </c>
      <c r="AW3" s="43" t="s">
        <v>291</v>
      </c>
      <c r="AX3" s="43" t="s">
        <v>292</v>
      </c>
      <c r="AY3" s="43" t="s">
        <v>293</v>
      </c>
      <c r="AZ3" s="43" t="s">
        <v>294</v>
      </c>
      <c r="BA3" s="43" t="s">
        <v>295</v>
      </c>
      <c r="BB3" s="43" t="s">
        <v>296</v>
      </c>
      <c r="BC3" s="43" t="s">
        <v>297</v>
      </c>
      <c r="BD3" s="43" t="s">
        <v>298</v>
      </c>
      <c r="BE3" s="43" t="s">
        <v>299</v>
      </c>
      <c r="BF3" s="43" t="s">
        <v>300</v>
      </c>
      <c r="BG3" s="43" t="s">
        <v>301</v>
      </c>
      <c r="BH3" s="43" t="s">
        <v>302</v>
      </c>
      <c r="BI3" s="43" t="s">
        <v>303</v>
      </c>
      <c r="BJ3" s="43" t="s">
        <v>304</v>
      </c>
      <c r="BK3" s="43" t="s">
        <v>305</v>
      </c>
      <c r="BL3" s="43" t="s">
        <v>306</v>
      </c>
      <c r="BM3" s="43" t="s">
        <v>307</v>
      </c>
      <c r="BN3" s="43" t="s">
        <v>308</v>
      </c>
      <c r="BO3" s="43" t="s">
        <v>309</v>
      </c>
      <c r="BP3" s="43" t="s">
        <v>310</v>
      </c>
      <c r="BQ3" s="43" t="s">
        <v>311</v>
      </c>
      <c r="BR3" s="43" t="s">
        <v>312</v>
      </c>
      <c r="BS3" s="43" t="s">
        <v>313</v>
      </c>
      <c r="BT3" s="43" t="s">
        <v>314</v>
      </c>
      <c r="BU3" s="43" t="s">
        <v>315</v>
      </c>
      <c r="BV3" s="43" t="s">
        <v>316</v>
      </c>
      <c r="BW3" s="43" t="s">
        <v>317</v>
      </c>
      <c r="BX3" s="43" t="s">
        <v>318</v>
      </c>
      <c r="BY3" s="43" t="s">
        <v>319</v>
      </c>
      <c r="BZ3" s="43" t="s">
        <v>320</v>
      </c>
      <c r="CA3" s="43" t="s">
        <v>321</v>
      </c>
      <c r="CB3" s="43" t="s">
        <v>322</v>
      </c>
      <c r="CC3" s="43" t="s">
        <v>323</v>
      </c>
      <c r="CD3" s="43" t="s">
        <v>324</v>
      </c>
      <c r="CE3" s="43" t="s">
        <v>325</v>
      </c>
      <c r="CF3" s="43" t="s">
        <v>326</v>
      </c>
      <c r="CG3" s="43" t="s">
        <v>327</v>
      </c>
      <c r="CH3" s="43" t="s">
        <v>328</v>
      </c>
      <c r="CI3" s="43" t="s">
        <v>329</v>
      </c>
      <c r="CJ3" s="43" t="s">
        <v>330</v>
      </c>
      <c r="CK3" s="43" t="s">
        <v>331</v>
      </c>
      <c r="CL3" s="43" t="s">
        <v>332</v>
      </c>
      <c r="CM3" s="43" t="s">
        <v>333</v>
      </c>
      <c r="CN3" s="43" t="s">
        <v>334</v>
      </c>
      <c r="CO3" s="43" t="s">
        <v>335</v>
      </c>
      <c r="CP3" s="43" t="s">
        <v>336</v>
      </c>
      <c r="CQ3" s="43" t="s">
        <v>337</v>
      </c>
      <c r="CR3" s="43" t="s">
        <v>338</v>
      </c>
      <c r="CS3" s="43" t="s">
        <v>339</v>
      </c>
      <c r="CT3" s="43" t="s">
        <v>340</v>
      </c>
      <c r="CU3" s="43" t="s">
        <v>341</v>
      </c>
      <c r="CV3" s="43" t="s">
        <v>342</v>
      </c>
      <c r="CW3" s="43" t="s">
        <v>343</v>
      </c>
      <c r="CX3" s="43" t="s">
        <v>344</v>
      </c>
      <c r="CY3" s="43" t="s">
        <v>345</v>
      </c>
      <c r="CZ3" s="43" t="s">
        <v>346</v>
      </c>
      <c r="DA3" s="43" t="s">
        <v>347</v>
      </c>
      <c r="DB3" s="43" t="s">
        <v>348</v>
      </c>
      <c r="DC3" s="43" t="s">
        <v>349</v>
      </c>
      <c r="DD3" s="43" t="s">
        <v>350</v>
      </c>
      <c r="DE3" s="43" t="s">
        <v>351</v>
      </c>
      <c r="DF3" s="43" t="s">
        <v>352</v>
      </c>
      <c r="DG3" s="43" t="s">
        <v>353</v>
      </c>
      <c r="DH3" s="43" t="s">
        <v>354</v>
      </c>
      <c r="DI3" s="43" t="s">
        <v>355</v>
      </c>
      <c r="DJ3" s="43" t="s">
        <v>356</v>
      </c>
      <c r="DK3" s="43" t="s">
        <v>357</v>
      </c>
      <c r="DL3" s="43" t="s">
        <v>358</v>
      </c>
      <c r="DM3" s="43" t="s">
        <v>359</v>
      </c>
      <c r="DN3" s="43" t="s">
        <v>360</v>
      </c>
      <c r="DO3" s="43" t="s">
        <v>361</v>
      </c>
      <c r="DP3" s="43" t="s">
        <v>362</v>
      </c>
      <c r="DQ3" s="43" t="s">
        <v>363</v>
      </c>
      <c r="DR3" s="43" t="s">
        <v>364</v>
      </c>
      <c r="DS3" s="43" t="s">
        <v>365</v>
      </c>
      <c r="DT3" s="43" t="s">
        <v>366</v>
      </c>
      <c r="DU3" s="43" t="s">
        <v>367</v>
      </c>
      <c r="DV3" s="43" t="s">
        <v>368</v>
      </c>
      <c r="DW3" s="43" t="s">
        <v>369</v>
      </c>
      <c r="DX3" s="43" t="s">
        <v>370</v>
      </c>
      <c r="DY3" s="43" t="s">
        <v>371</v>
      </c>
      <c r="DZ3" s="43" t="s">
        <v>372</v>
      </c>
      <c r="EA3" s="43" t="s">
        <v>373</v>
      </c>
      <c r="EB3" s="43" t="s">
        <v>374</v>
      </c>
      <c r="EC3" s="43" t="s">
        <v>375</v>
      </c>
      <c r="ED3" s="43" t="s">
        <v>376</v>
      </c>
      <c r="EE3" s="43" t="s">
        <v>377</v>
      </c>
      <c r="EF3" s="43" t="s">
        <v>378</v>
      </c>
      <c r="EG3" s="43" t="s">
        <v>379</v>
      </c>
      <c r="EH3" s="43" t="s">
        <v>380</v>
      </c>
      <c r="EI3" s="43" t="s">
        <v>381</v>
      </c>
      <c r="EJ3" s="43" t="s">
        <v>382</v>
      </c>
      <c r="EK3" s="43" t="s">
        <v>383</v>
      </c>
      <c r="EL3" s="43" t="s">
        <v>384</v>
      </c>
      <c r="EM3" s="43" t="s">
        <v>385</v>
      </c>
      <c r="EN3" s="43" t="s">
        <v>386</v>
      </c>
      <c r="EO3" s="43" t="s">
        <v>387</v>
      </c>
      <c r="EP3" s="43" t="s">
        <v>388</v>
      </c>
      <c r="EQ3" s="43" t="s">
        <v>389</v>
      </c>
      <c r="ER3" s="43" t="s">
        <v>390</v>
      </c>
      <c r="ES3" s="43" t="s">
        <v>391</v>
      </c>
      <c r="ET3" s="43" t="s">
        <v>392</v>
      </c>
      <c r="EU3" s="43" t="s">
        <v>393</v>
      </c>
      <c r="EV3" s="43" t="s">
        <v>394</v>
      </c>
      <c r="EW3" s="43" t="s">
        <v>395</v>
      </c>
      <c r="EX3" s="43" t="s">
        <v>396</v>
      </c>
      <c r="EY3" s="43" t="s">
        <v>397</v>
      </c>
      <c r="EZ3" s="43" t="s">
        <v>398</v>
      </c>
      <c r="FA3" s="43" t="s">
        <v>399</v>
      </c>
      <c r="FB3" s="43" t="s">
        <v>400</v>
      </c>
      <c r="FC3" s="43" t="s">
        <v>401</v>
      </c>
      <c r="FD3" s="43" t="s">
        <v>402</v>
      </c>
      <c r="FE3" s="43" t="s">
        <v>403</v>
      </c>
      <c r="FF3" s="43" t="s">
        <v>404</v>
      </c>
      <c r="FG3" s="43" t="s">
        <v>405</v>
      </c>
      <c r="FH3" s="43" t="s">
        <v>406</v>
      </c>
      <c r="FI3" s="43" t="s">
        <v>407</v>
      </c>
      <c r="FJ3" s="43" t="s">
        <v>408</v>
      </c>
      <c r="FK3" s="43" t="s">
        <v>409</v>
      </c>
      <c r="FL3" s="43" t="s">
        <v>410</v>
      </c>
      <c r="FM3" s="43" t="s">
        <v>411</v>
      </c>
      <c r="FN3" s="43" t="s">
        <v>412</v>
      </c>
      <c r="FO3" s="43" t="s">
        <v>413</v>
      </c>
      <c r="FP3" s="43" t="s">
        <v>414</v>
      </c>
      <c r="FQ3" s="43" t="s">
        <v>415</v>
      </c>
      <c r="FR3" s="43" t="s">
        <v>416</v>
      </c>
      <c r="FS3" s="43" t="s">
        <v>417</v>
      </c>
      <c r="FT3" s="43" t="s">
        <v>418</v>
      </c>
      <c r="FU3" s="43" t="s">
        <v>419</v>
      </c>
      <c r="FV3" s="43" t="s">
        <v>420</v>
      </c>
      <c r="FW3" s="43" t="s">
        <v>421</v>
      </c>
      <c r="FX3" s="43" t="s">
        <v>422</v>
      </c>
      <c r="FY3" s="43" t="s">
        <v>423</v>
      </c>
      <c r="FZ3" s="1"/>
    </row>
    <row r="4" customFormat="false" ht="15" hidden="false" customHeight="true" outlineLevel="0" collapsed="false">
      <c r="B4" s="182"/>
      <c r="N4" s="182"/>
      <c r="Z4" s="182"/>
      <c r="AL4" s="182"/>
      <c r="AX4" s="182"/>
      <c r="BJ4" s="182"/>
      <c r="BV4" s="182"/>
      <c r="CH4" s="182"/>
      <c r="CT4" s="182"/>
      <c r="DF4" s="182"/>
      <c r="DR4" s="182"/>
      <c r="ED4" s="182"/>
      <c r="EP4" s="182"/>
      <c r="FB4" s="182"/>
      <c r="FN4" s="182"/>
      <c r="FZ4" s="1"/>
    </row>
    <row r="5" customFormat="false" ht="15" hidden="false" customHeight="true" outlineLevel="0" collapsed="false">
      <c r="A5" s="21" t="s">
        <v>424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1"/>
    </row>
    <row r="6" customFormat="false" ht="15" hidden="false" customHeight="true" outlineLevel="0" collapsed="false">
      <c r="A6" s="17" t="s">
        <v>425</v>
      </c>
      <c r="B6" s="170" t="n">
        <f aca="false">_Engine_R50!F31/12</f>
        <v>0</v>
      </c>
      <c r="C6" s="170" t="n">
        <f aca="false">_Engine_R50!F32/12</f>
        <v>0</v>
      </c>
      <c r="D6" s="170" t="n">
        <f aca="false">_Engine_R50!F33/12</f>
        <v>0</v>
      </c>
      <c r="E6" s="170" t="n">
        <f aca="false">_Engine_R50!F34/12</f>
        <v>2.08333333333333</v>
      </c>
      <c r="F6" s="170" t="n">
        <f aca="false">_Engine_R50!F35/12</f>
        <v>2.07444725254675</v>
      </c>
      <c r="G6" s="170" t="n">
        <f aca="false">_Engine_R50!F36/12</f>
        <v>2.0655990737274</v>
      </c>
      <c r="H6" s="170" t="n">
        <f aca="false">_Engine_R50!F37/12</f>
        <v>2.05678863521132</v>
      </c>
      <c r="I6" s="170" t="n">
        <f aca="false">_Engine_R50!F38/12</f>
        <v>2.04801577602408</v>
      </c>
      <c r="J6" s="170" t="n">
        <f aca="false">_Engine_R50!F39/12</f>
        <v>2.03928033587786</v>
      </c>
      <c r="K6" s="170" t="n">
        <f aca="false">_Engine_R50!F40/12</f>
        <v>2.03058215516853</v>
      </c>
      <c r="L6" s="170" t="n">
        <f aca="false">_Engine_R50!F41/12</f>
        <v>2.02192107497271</v>
      </c>
      <c r="M6" s="170" t="n">
        <f aca="false">_Engine_R50!F42/12</f>
        <v>2.01329693704489</v>
      </c>
      <c r="N6" s="46" t="n">
        <f aca="false">_Engine_R50!F43/12</f>
        <v>2.0047095838145</v>
      </c>
      <c r="O6" s="46" t="n">
        <f aca="false">_Engine_R50!F44/12</f>
        <v>1.9961588583831</v>
      </c>
      <c r="P6" s="46" t="n">
        <f aca="false">_Engine_R50!F45/12</f>
        <v>1.98764460452145</v>
      </c>
      <c r="Q6" s="46" t="n">
        <f aca="false">_Engine_R50!F46/12</f>
        <v>1.97916666666667</v>
      </c>
      <c r="R6" s="46" t="n">
        <f aca="false">_Engine_R50!F47/12</f>
        <v>1.97072488991941</v>
      </c>
      <c r="S6" s="46" t="n">
        <f aca="false">_Engine_R50!F48/12</f>
        <v>1.96231912004103</v>
      </c>
      <c r="T6" s="46" t="n">
        <f aca="false">_Engine_R50!F49/12</f>
        <v>1.95394920345075</v>
      </c>
      <c r="U6" s="46" t="n">
        <f aca="false">_Engine_R50!F50/12</f>
        <v>1.94561498722288</v>
      </c>
      <c r="V6" s="46" t="n">
        <f aca="false">_Engine_R50!F51/12</f>
        <v>1.93731631908397</v>
      </c>
      <c r="W6" s="46" t="n">
        <f aca="false">_Engine_R50!F52/12</f>
        <v>1.92905304741011</v>
      </c>
      <c r="X6" s="46" t="n">
        <f aca="false">_Engine_R50!F53/12</f>
        <v>1.92082502122408</v>
      </c>
      <c r="Y6" s="46" t="n">
        <f aca="false">_Engine_R50!F54/12</f>
        <v>1.91263209019264</v>
      </c>
      <c r="Z6" s="170" t="n">
        <f aca="false">_Engine_R50!F55/12</f>
        <v>1.90447410462378</v>
      </c>
      <c r="AA6" s="170" t="n">
        <f aca="false">_Engine_R50!F56/12</f>
        <v>1.89635091546395</v>
      </c>
      <c r="AB6" s="170" t="n">
        <f aca="false">_Engine_R50!F57/12</f>
        <v>1.88826237429538</v>
      </c>
      <c r="AC6" s="170" t="n">
        <f aca="false">_Engine_R50!F58/12</f>
        <v>1.88020833333333</v>
      </c>
      <c r="AD6" s="170" t="n">
        <f aca="false">_Engine_R50!F59/12</f>
        <v>1.87218864542344</v>
      </c>
      <c r="AE6" s="170" t="n">
        <f aca="false">_Engine_R50!F60/12</f>
        <v>1.86420316403898</v>
      </c>
      <c r="AF6" s="170" t="n">
        <f aca="false">_Engine_R50!F61/12</f>
        <v>1.85625174327822</v>
      </c>
      <c r="AG6" s="170" t="n">
        <f aca="false">_Engine_R50!F62/12</f>
        <v>1.84833423786173</v>
      </c>
      <c r="AH6" s="170" t="n">
        <f aca="false">_Engine_R50!F63/12</f>
        <v>1.84045050312977</v>
      </c>
      <c r="AI6" s="170" t="n">
        <f aca="false">_Engine_R50!F64/12</f>
        <v>1.8326003950396</v>
      </c>
      <c r="AJ6" s="170" t="n">
        <f aca="false">_Engine_R50!F65/12</f>
        <v>1.82478377016287</v>
      </c>
      <c r="AK6" s="170" t="n">
        <f aca="false">_Engine_R50!F66/12</f>
        <v>1.81700048568301</v>
      </c>
      <c r="AL6" s="46" t="n">
        <f aca="false">_Engine_R50!F67/12</f>
        <v>1.80925039939259</v>
      </c>
      <c r="AM6" s="46" t="n">
        <f aca="false">_Engine_R50!F68/12</f>
        <v>1.80153336969075</v>
      </c>
      <c r="AN6" s="46" t="n">
        <f aca="false">_Engine_R50!F69/12</f>
        <v>1.79384925558061</v>
      </c>
      <c r="AO6" s="46" t="n">
        <f aca="false">_Engine_R50!F70/12</f>
        <v>1.78619791666667</v>
      </c>
      <c r="AP6" s="46" t="n">
        <f aca="false">_Engine_R50!F71/12</f>
        <v>1.77857921315227</v>
      </c>
      <c r="AQ6" s="46" t="n">
        <f aca="false">_Engine_R50!F72/12</f>
        <v>1.77099300583703</v>
      </c>
      <c r="AR6" s="46" t="n">
        <f aca="false">_Engine_R50!F73/12</f>
        <v>1.76343915611431</v>
      </c>
      <c r="AS6" s="46" t="n">
        <f aca="false">_Engine_R50!F74/12</f>
        <v>1.75591752596865</v>
      </c>
      <c r="AT6" s="46" t="n">
        <f aca="false">_Engine_R50!F75/12</f>
        <v>1.74842797797328</v>
      </c>
      <c r="AU6" s="46" t="n">
        <f aca="false">_Engine_R50!F76/12</f>
        <v>1.74097037528762</v>
      </c>
      <c r="AV6" s="46" t="n">
        <f aca="false">_Engine_R50!F77/12</f>
        <v>1.73354458165473</v>
      </c>
      <c r="AW6" s="46" t="n">
        <f aca="false">_Engine_R50!F78/12</f>
        <v>1.72615046139886</v>
      </c>
      <c r="AX6" s="170" t="n">
        <f aca="false">_Engine_R50!F79/12</f>
        <v>1.71878787942296</v>
      </c>
      <c r="AY6" s="170" t="n">
        <f aca="false">_Engine_R50!F80/12</f>
        <v>1.71145670120621</v>
      </c>
      <c r="AZ6" s="170" t="n">
        <f aca="false">_Engine_R50!F81/12</f>
        <v>1.70415679280158</v>
      </c>
      <c r="BA6" s="170" t="n">
        <f aca="false">_Engine_R50!F82/12</f>
        <v>1.69688802083333</v>
      </c>
      <c r="BB6" s="170" t="n">
        <f aca="false">_Engine_R50!F83/12</f>
        <v>1.68965025249465</v>
      </c>
      <c r="BC6" s="170" t="n">
        <f aca="false">_Engine_R50!F84/12</f>
        <v>1.68244335554518</v>
      </c>
      <c r="BD6" s="170" t="n">
        <f aca="false">_Engine_R50!F85/12</f>
        <v>1.67526719830859</v>
      </c>
      <c r="BE6" s="170" t="n">
        <f aca="false">_Engine_R50!F86/12</f>
        <v>1.66812164967021</v>
      </c>
      <c r="BF6" s="170" t="n">
        <f aca="false">_Engine_R50!F87/12</f>
        <v>1.66100657907462</v>
      </c>
      <c r="BG6" s="170" t="n">
        <f aca="false">_Engine_R50!F88/12</f>
        <v>1.65392185652324</v>
      </c>
      <c r="BH6" s="170" t="n">
        <f aca="false">_Engine_R50!F89/12</f>
        <v>1.64686735257199</v>
      </c>
      <c r="BI6" s="170" t="n">
        <f aca="false">_Engine_R50!F90/12</f>
        <v>1.63984293832892</v>
      </c>
      <c r="BJ6" s="46" t="n">
        <f aca="false">_Engine_R50!F91/12</f>
        <v>1.63284848545181</v>
      </c>
      <c r="BK6" s="46" t="n">
        <f aca="false">_Engine_R50!F92/12</f>
        <v>1.6258838661459</v>
      </c>
      <c r="BL6" s="46" t="n">
        <f aca="false">_Engine_R50!F93/12</f>
        <v>1.6189489531615</v>
      </c>
      <c r="BM6" s="46" t="n">
        <f aca="false">_Engine_R50!F94/12</f>
        <v>1.61204361979167</v>
      </c>
      <c r="BN6" s="46" t="n">
        <f aca="false">_Engine_R50!F95/12</f>
        <v>1.60516773986992</v>
      </c>
      <c r="BO6" s="46" t="n">
        <f aca="false">_Engine_R50!F96/12</f>
        <v>1.59832118776792</v>
      </c>
      <c r="BP6" s="46" t="n">
        <f aca="false">_Engine_R50!F97/12</f>
        <v>1.59150383839316</v>
      </c>
      <c r="BQ6" s="46" t="n">
        <f aca="false">_Engine_R50!F98/12</f>
        <v>1.5847155671867</v>
      </c>
      <c r="BR6" s="46" t="n">
        <f aca="false">_Engine_R50!F99/12</f>
        <v>1.57795625012089</v>
      </c>
      <c r="BS6" s="46" t="n">
        <f aca="false">_Engine_R50!F100/12</f>
        <v>1.57122576369708</v>
      </c>
      <c r="BT6" s="46" t="n">
        <f aca="false">_Engine_R50!F101/12</f>
        <v>1.56452398494339</v>
      </c>
      <c r="BU6" s="46" t="n">
        <f aca="false">_Engine_R50!F102/12</f>
        <v>1.55785079141247</v>
      </c>
      <c r="BV6" s="170" t="n">
        <f aca="false">_Engine_R50!F103/12</f>
        <v>1.55120606117922</v>
      </c>
      <c r="BW6" s="170" t="n">
        <f aca="false">_Engine_R50!F104/12</f>
        <v>1.54458967283861</v>
      </c>
      <c r="BX6" s="170" t="n">
        <f aca="false">_Engine_R50!F105/12</f>
        <v>1.53800150550342</v>
      </c>
      <c r="BY6" s="170" t="n">
        <f aca="false">_Engine_R50!F106/12</f>
        <v>1.53144143880208</v>
      </c>
      <c r="BZ6" s="170" t="n">
        <f aca="false">_Engine_R50!F107/12</f>
        <v>1.52490935287643</v>
      </c>
      <c r="CA6" s="170" t="n">
        <f aca="false">_Engine_R50!F108/12</f>
        <v>1.51840512837952</v>
      </c>
      <c r="CB6" s="170" t="n">
        <f aca="false">_Engine_R50!F109/12</f>
        <v>1.5119286464735</v>
      </c>
      <c r="CC6" s="170" t="n">
        <f aca="false">_Engine_R50!F110/12</f>
        <v>1.50547978882737</v>
      </c>
      <c r="CD6" s="170" t="n">
        <f aca="false">_Engine_R50!F111/12</f>
        <v>1.49905843761484</v>
      </c>
      <c r="CE6" s="170" t="n">
        <f aca="false">_Engine_R50!F112/12</f>
        <v>1.49266447551222</v>
      </c>
      <c r="CF6" s="170" t="n">
        <f aca="false">_Engine_R50!F113/12</f>
        <v>1.48629778569622</v>
      </c>
      <c r="CG6" s="170" t="n">
        <f aca="false">_Engine_R50!F114/12</f>
        <v>1.47995825184185</v>
      </c>
      <c r="CH6" s="46" t="n">
        <f aca="false">_Engine_R50!F115/12</f>
        <v>1.47364575812026</v>
      </c>
      <c r="CI6" s="46" t="n">
        <f aca="false">_Engine_R50!F116/12</f>
        <v>1.46736018919668</v>
      </c>
      <c r="CJ6" s="46" t="n">
        <f aca="false">_Engine_R50!F117/12</f>
        <v>1.46110143022825</v>
      </c>
      <c r="CK6" s="46" t="n">
        <f aca="false">_Engine_R50!F118/12</f>
        <v>1.45486936686198</v>
      </c>
      <c r="CL6" s="46" t="n">
        <f aca="false">_Engine_R50!F119/12</f>
        <v>1.4486638852326</v>
      </c>
      <c r="CM6" s="46" t="n">
        <f aca="false">_Engine_R50!F120/12</f>
        <v>1.44248487196055</v>
      </c>
      <c r="CN6" s="46" t="n">
        <f aca="false">_Engine_R50!F121/12</f>
        <v>1.43633221414983</v>
      </c>
      <c r="CO6" s="46" t="n">
        <f aca="false">_Engine_R50!F122/12</f>
        <v>1.430205799386</v>
      </c>
      <c r="CP6" s="46" t="n">
        <f aca="false">_Engine_R50!F123/12</f>
        <v>1.4241055157341</v>
      </c>
      <c r="CQ6" s="46" t="n">
        <f aca="false">_Engine_R50!F124/12</f>
        <v>1.41803125173661</v>
      </c>
      <c r="CR6" s="46" t="n">
        <f aca="false">_Engine_R50!F125/12</f>
        <v>1.41198289641141</v>
      </c>
      <c r="CS6" s="46" t="n">
        <f aca="false">_Engine_R50!F126/12</f>
        <v>1.40596033924976</v>
      </c>
      <c r="CT6" s="170" t="n">
        <f aca="false">_Engine_R50!F127/12</f>
        <v>1.39996347021425</v>
      </c>
      <c r="CU6" s="170" t="n">
        <f aca="false">_Engine_R50!F128/12</f>
        <v>1.39399217973684</v>
      </c>
      <c r="CV6" s="170" t="n">
        <f aca="false">_Engine_R50!F129/12</f>
        <v>1.38804635871684</v>
      </c>
      <c r="CW6" s="170" t="n">
        <f aca="false">_Engine_R50!F130/12</f>
        <v>1.38212589851888</v>
      </c>
      <c r="CX6" s="170" t="n">
        <f aca="false">_Engine_R50!F131/12</f>
        <v>1.37623069097097</v>
      </c>
      <c r="CY6" s="170" t="n">
        <f aca="false">_Engine_R50!F132/12</f>
        <v>1.37036062836252</v>
      </c>
      <c r="CZ6" s="170" t="n">
        <f aca="false">_Engine_R50!F133/12</f>
        <v>1.36451560344234</v>
      </c>
      <c r="DA6" s="170" t="n">
        <f aca="false">_Engine_R50!F134/12</f>
        <v>1.3586955094167</v>
      </c>
      <c r="DB6" s="170" t="n">
        <f aca="false">_Engine_R50!F135/12</f>
        <v>1.3529002399474</v>
      </c>
      <c r="DC6" s="170" t="n">
        <f aca="false">_Engine_R50!F136/12</f>
        <v>1.34712968914978</v>
      </c>
      <c r="DD6" s="170" t="n">
        <f aca="false">_Engine_R50!F137/12</f>
        <v>1.34138375159084</v>
      </c>
      <c r="DE6" s="170" t="n">
        <f aca="false">_Engine_R50!F138/12</f>
        <v>1.33566232228727</v>
      </c>
      <c r="DF6" s="46" t="n">
        <f aca="false">_Engine_R50!F139/12</f>
        <v>1.32996529670354</v>
      </c>
      <c r="DG6" s="46" t="n">
        <f aca="false">_Engine_R50!F140/12</f>
        <v>1.32429257075</v>
      </c>
      <c r="DH6" s="46" t="n">
        <f aca="false">_Engine_R50!F141/12</f>
        <v>1.318644040781</v>
      </c>
      <c r="DI6" s="46" t="n">
        <f aca="false">_Engine_R50!F142/12</f>
        <v>1.31301960359294</v>
      </c>
      <c r="DJ6" s="46" t="n">
        <f aca="false">_Engine_R50!F143/12</f>
        <v>1.30741915642243</v>
      </c>
      <c r="DK6" s="46" t="n">
        <f aca="false">_Engine_R50!F144/12</f>
        <v>1.30184259694439</v>
      </c>
      <c r="DL6" s="46" t="n">
        <f aca="false">_Engine_R50!F145/12</f>
        <v>1.29628982327022</v>
      </c>
      <c r="DM6" s="46" t="n">
        <f aca="false">_Engine_R50!F146/12</f>
        <v>1.29076073394586</v>
      </c>
      <c r="DN6" s="46" t="n">
        <f aca="false">_Engine_R50!F147/12</f>
        <v>1.28525522795003</v>
      </c>
      <c r="DO6" s="46" t="n">
        <f aca="false">_Engine_R50!F148/12</f>
        <v>1.27977320469229</v>
      </c>
      <c r="DP6" s="46" t="n">
        <f aca="false">_Engine_R50!F149/12</f>
        <v>1.2743145640113</v>
      </c>
      <c r="DQ6" s="46" t="n">
        <f aca="false">_Engine_R50!F150/12</f>
        <v>1.2688792061729</v>
      </c>
      <c r="DR6" s="170" t="n">
        <f aca="false">_Engine_R50!F151/12</f>
        <v>1.26346703186836</v>
      </c>
      <c r="DS6" s="170" t="n">
        <f aca="false">_Engine_R50!F152/12</f>
        <v>1.2580779422125</v>
      </c>
      <c r="DT6" s="170" t="n">
        <f aca="false">_Engine_R50!F153/12</f>
        <v>1.25271183874195</v>
      </c>
      <c r="DU6" s="170" t="n">
        <f aca="false">_Engine_R50!F154/12</f>
        <v>1.24736862341329</v>
      </c>
      <c r="DV6" s="170" t="n">
        <f aca="false">_Engine_R50!F155/12</f>
        <v>1.2420481986013</v>
      </c>
      <c r="DW6" s="170" t="n">
        <f aca="false">_Engine_R50!F156/12</f>
        <v>1.23675046709717</v>
      </c>
      <c r="DX6" s="170" t="n">
        <f aca="false">_Engine_R50!F157/12</f>
        <v>1.23147533210671</v>
      </c>
      <c r="DY6" s="170" t="n">
        <f aca="false">_Engine_R50!F158/12</f>
        <v>1.22622269724857</v>
      </c>
      <c r="DZ6" s="170" t="n">
        <f aca="false">_Engine_R50!F159/12</f>
        <v>1.22099246655253</v>
      </c>
      <c r="EA6" s="170" t="n">
        <f aca="false">_Engine_R50!F160/12</f>
        <v>1.21578454445768</v>
      </c>
      <c r="EB6" s="170" t="n">
        <f aca="false">_Engine_R50!F161/12</f>
        <v>1.21059883581074</v>
      </c>
      <c r="EC6" s="170" t="n">
        <f aca="false">_Engine_R50!F162/12</f>
        <v>1.20543524586426</v>
      </c>
      <c r="ED6" s="46" t="n">
        <f aca="false">_Engine_R50!F163/12</f>
        <v>1.20029368027494</v>
      </c>
      <c r="EE6" s="46" t="n">
        <f aca="false">_Engine_R50!F164/12</f>
        <v>1.19517404510188</v>
      </c>
      <c r="EF6" s="46" t="n">
        <f aca="false">_Engine_R50!F165/12</f>
        <v>1.19007624680485</v>
      </c>
      <c r="EG6" s="46" t="n">
        <f aca="false">_Engine_R50!F166/12</f>
        <v>1.18500019224262</v>
      </c>
      <c r="EH6" s="46" t="n">
        <f aca="false">_Engine_R50!F167/12</f>
        <v>1.17994578867124</v>
      </c>
      <c r="EI6" s="46" t="n">
        <f aca="false">_Engine_R50!F168/12</f>
        <v>1.17491294374232</v>
      </c>
      <c r="EJ6" s="46" t="n">
        <f aca="false">_Engine_R50!F169/12</f>
        <v>1.16990156550137</v>
      </c>
      <c r="EK6" s="46" t="n">
        <f aca="false">_Engine_R50!F170/12</f>
        <v>1.16491156238614</v>
      </c>
      <c r="EL6" s="46" t="n">
        <f aca="false">_Engine_R50!F171/12</f>
        <v>1.1599428432249</v>
      </c>
      <c r="EM6" s="46" t="n">
        <f aca="false">_Engine_R50!F172/12</f>
        <v>1.15499531723479</v>
      </c>
      <c r="EN6" s="46" t="n">
        <f aca="false">_Engine_R50!F173/12</f>
        <v>1.1500688940202</v>
      </c>
      <c r="EO6" s="46" t="n">
        <f aca="false">_Engine_R50!F174/12</f>
        <v>1.14516348357105</v>
      </c>
      <c r="EP6" s="170" t="n">
        <f aca="false">_Engine_R50!F175/12</f>
        <v>1.14027899626119</v>
      </c>
      <c r="EQ6" s="170" t="n">
        <f aca="false">_Engine_R50!F176/12</f>
        <v>1.13541534284678</v>
      </c>
      <c r="ER6" s="170" t="n">
        <f aca="false">_Engine_R50!F177/12</f>
        <v>1.13057243446461</v>
      </c>
      <c r="ES6" s="170" t="n">
        <f aca="false">_Engine_R50!F178/12</f>
        <v>1.12575018263049</v>
      </c>
      <c r="ET6" s="170" t="n">
        <f aca="false">_Engine_R50!F179/12</f>
        <v>1.12094849923768</v>
      </c>
      <c r="EU6" s="170" t="n">
        <f aca="false">_Engine_R50!F180/12</f>
        <v>1.1161672965552</v>
      </c>
      <c r="EV6" s="170" t="n">
        <f aca="false">_Engine_R50!F181/12</f>
        <v>1.1114064872263</v>
      </c>
      <c r="EW6" s="170" t="n">
        <f aca="false">_Engine_R50!F182/12</f>
        <v>1.10666598426683</v>
      </c>
      <c r="EX6" s="170" t="n">
        <f aca="false">_Engine_R50!F183/12</f>
        <v>1.10194570106365</v>
      </c>
      <c r="EY6" s="170" t="n">
        <f aca="false">_Engine_R50!F184/12</f>
        <v>1.09724555137305</v>
      </c>
      <c r="EZ6" s="170" t="n">
        <f aca="false">_Engine_R50!F185/12</f>
        <v>1.09256544931919</v>
      </c>
      <c r="FA6" s="170" t="n">
        <f aca="false">_Engine_R50!F186/12</f>
        <v>1.08790530939249</v>
      </c>
      <c r="FB6" s="46" t="n">
        <f aca="false">_Engine_R50!F187/12</f>
        <v>1.08326504644813</v>
      </c>
      <c r="FC6" s="46" t="n">
        <f aca="false">_Engine_R50!F188/12</f>
        <v>1.07864457570444</v>
      </c>
      <c r="FD6" s="46" t="n">
        <f aca="false">_Engine_R50!F189/12</f>
        <v>1.07404381274138</v>
      </c>
      <c r="FE6" s="46" t="n">
        <f aca="false">_Engine_R50!F190/12</f>
        <v>1.06946267349897</v>
      </c>
      <c r="FF6" s="46" t="n">
        <f aca="false">_Engine_R50!F191/12</f>
        <v>1.06490107427579</v>
      </c>
      <c r="FG6" s="46" t="n">
        <f aca="false">_Engine_R50!F192/12</f>
        <v>1.06035893172744</v>
      </c>
      <c r="FH6" s="46" t="n">
        <f aca="false">_Engine_R50!F193/12</f>
        <v>1.05583616286499</v>
      </c>
      <c r="FI6" s="46" t="n">
        <f aca="false">_Engine_R50!F194/12</f>
        <v>1.05133268505349</v>
      </c>
      <c r="FJ6" s="46" t="n">
        <f aca="false">_Engine_R50!F195/12</f>
        <v>1.04684841601047</v>
      </c>
      <c r="FK6" s="46" t="n">
        <f aca="false">_Engine_R50!F196/12</f>
        <v>1.0423832738044</v>
      </c>
      <c r="FL6" s="46" t="n">
        <f aca="false">_Engine_R50!F197/12</f>
        <v>1.03793717685323</v>
      </c>
      <c r="FM6" s="46" t="n">
        <f aca="false">_Engine_R50!F198/12</f>
        <v>1.03351004392287</v>
      </c>
      <c r="FN6" s="170" t="n">
        <f aca="false">_Engine_R50!F199/12</f>
        <v>1.02910179412573</v>
      </c>
      <c r="FO6" s="170" t="n">
        <f aca="false">_Engine_R50!F200/12</f>
        <v>1.02471234691922</v>
      </c>
      <c r="FP6" s="170" t="n">
        <f aca="false">_Engine_R50!F201/12</f>
        <v>1.02034162210431</v>
      </c>
      <c r="FQ6" s="170" t="n">
        <f aca="false">_Engine_R50!F202/12</f>
        <v>1.01598953982402</v>
      </c>
      <c r="FR6" s="170" t="n">
        <f aca="false">_Engine_R50!F203/12</f>
        <v>1.011656020562</v>
      </c>
      <c r="FS6" s="170" t="n">
        <f aca="false">_Engine_R50!F204/12</f>
        <v>1.00734098514107</v>
      </c>
      <c r="FT6" s="170" t="n">
        <f aca="false">_Engine_R50!F205/12</f>
        <v>1.00304435472174</v>
      </c>
      <c r="FU6" s="170" t="n">
        <f aca="false">_Engine_R50!F206/12</f>
        <v>0.998766050800818</v>
      </c>
      <c r="FV6" s="170" t="n">
        <f aca="false">_Engine_R50!F207/12</f>
        <v>0.994505995209948</v>
      </c>
      <c r="FW6" s="170" t="n">
        <f aca="false">_Engine_R50!F208/12</f>
        <v>0.990264110114182</v>
      </c>
      <c r="FX6" s="170" t="n">
        <f aca="false">_Engine_R50!F209/12</f>
        <v>0.986040318010567</v>
      </c>
      <c r="FY6" s="170" t="n">
        <f aca="false">_Engine_R50!F210/12</f>
        <v>0.981834541726725</v>
      </c>
      <c r="FZ6" s="1"/>
    </row>
    <row r="7" customFormat="false" ht="15" hidden="false" customHeight="true" outlineLevel="0" collapsed="false">
      <c r="A7" s="17" t="s">
        <v>426</v>
      </c>
      <c r="B7" s="170" t="n">
        <f aca="false">_Engine_R50!G31/12</f>
        <v>0</v>
      </c>
      <c r="C7" s="170" t="n">
        <f aca="false">_Engine_R50!G32/12</f>
        <v>0</v>
      </c>
      <c r="D7" s="170" t="n">
        <f aca="false">_Engine_R50!G33/12</f>
        <v>0</v>
      </c>
      <c r="E7" s="170" t="n">
        <f aca="false">_Engine_R50!G34/12</f>
        <v>0</v>
      </c>
      <c r="F7" s="170" t="n">
        <f aca="false">_Engine_R50!G35/12</f>
        <v>0</v>
      </c>
      <c r="G7" s="170" t="n">
        <f aca="false">_Engine_R50!G36/12</f>
        <v>0</v>
      </c>
      <c r="H7" s="170" t="n">
        <f aca="false">_Engine_R50!G37/12</f>
        <v>0</v>
      </c>
      <c r="I7" s="170" t="n">
        <f aca="false">_Engine_R50!G38/12</f>
        <v>2.08333333333333</v>
      </c>
      <c r="J7" s="170" t="n">
        <f aca="false">_Engine_R50!G39/12</f>
        <v>2.06512164384438</v>
      </c>
      <c r="K7" s="170" t="n">
        <f aca="false">_Engine_R50!G40/12</f>
        <v>2.04706915385977</v>
      </c>
      <c r="L7" s="170" t="n">
        <f aca="false">_Engine_R50!G41/12</f>
        <v>2.02917447171937</v>
      </c>
      <c r="M7" s="170" t="n">
        <f aca="false">_Engine_R50!G42/12</f>
        <v>2.0114362179284</v>
      </c>
      <c r="N7" s="46" t="n">
        <f aca="false">_Engine_R50!G43/12</f>
        <v>1.99385302505108</v>
      </c>
      <c r="O7" s="46" t="n">
        <f aca="false">_Engine_R50!G44/12</f>
        <v>1.97642353760524</v>
      </c>
      <c r="P7" s="46" t="n">
        <f aca="false">_Engine_R50!G45/12</f>
        <v>1.95914641195779</v>
      </c>
      <c r="Q7" s="46" t="n">
        <f aca="false">_Engine_R50!G46/12</f>
        <v>1.94202031622116</v>
      </c>
      <c r="R7" s="46" t="n">
        <f aca="false">_Engine_R50!G47/12</f>
        <v>1.92504393015064</v>
      </c>
      <c r="S7" s="46" t="n">
        <f aca="false">_Engine_R50!G48/12</f>
        <v>1.90821594504256</v>
      </c>
      <c r="T7" s="46" t="n">
        <f aca="false">_Engine_R50!G49/12</f>
        <v>1.89153506363345</v>
      </c>
      <c r="U7" s="46" t="n">
        <f aca="false">_Engine_R50!G50/12</f>
        <v>1.875</v>
      </c>
      <c r="V7" s="46" t="n">
        <f aca="false">_Engine_R50!G51/12</f>
        <v>1.85860947945994</v>
      </c>
      <c r="W7" s="46" t="n">
        <f aca="false">_Engine_R50!G52/12</f>
        <v>1.84236223847379</v>
      </c>
      <c r="X7" s="46" t="n">
        <f aca="false">_Engine_R50!G53/12</f>
        <v>1.82625702454743</v>
      </c>
      <c r="Y7" s="46" t="n">
        <f aca="false">_Engine_R50!G54/12</f>
        <v>1.81029259613556</v>
      </c>
      <c r="Z7" s="170" t="n">
        <f aca="false">_Engine_R50!G55/12</f>
        <v>1.79446772254597</v>
      </c>
      <c r="AA7" s="170" t="n">
        <f aca="false">_Engine_R50!G56/12</f>
        <v>1.77878118384471</v>
      </c>
      <c r="AB7" s="170" t="n">
        <f aca="false">_Engine_R50!G57/12</f>
        <v>1.76323177076201</v>
      </c>
      <c r="AC7" s="170" t="n">
        <f aca="false">_Engine_R50!G58/12</f>
        <v>1.74781828459905</v>
      </c>
      <c r="AD7" s="170" t="n">
        <f aca="false">_Engine_R50!G59/12</f>
        <v>1.73253953713558</v>
      </c>
      <c r="AE7" s="170" t="n">
        <f aca="false">_Engine_R50!G60/12</f>
        <v>1.71739435053831</v>
      </c>
      <c r="AF7" s="170" t="n">
        <f aca="false">_Engine_R50!G61/12</f>
        <v>1.70238155727011</v>
      </c>
      <c r="AG7" s="170" t="n">
        <f aca="false">_Engine_R50!G62/12</f>
        <v>1.6875</v>
      </c>
      <c r="AH7" s="170" t="n">
        <f aca="false">_Engine_R50!G63/12</f>
        <v>1.67274853151395</v>
      </c>
      <c r="AI7" s="170" t="n">
        <f aca="false">_Engine_R50!G64/12</f>
        <v>1.65812601462641</v>
      </c>
      <c r="AJ7" s="170" t="n">
        <f aca="false">_Engine_R50!G65/12</f>
        <v>1.64363132209269</v>
      </c>
      <c r="AK7" s="170" t="n">
        <f aca="false">_Engine_R50!G66/12</f>
        <v>1.629263336522</v>
      </c>
      <c r="AL7" s="46" t="n">
        <f aca="false">_Engine_R50!G67/12</f>
        <v>1.61502095029137</v>
      </c>
      <c r="AM7" s="46" t="n">
        <f aca="false">_Engine_R50!G68/12</f>
        <v>1.60090306546024</v>
      </c>
      <c r="AN7" s="46" t="n">
        <f aca="false">_Engine_R50!G69/12</f>
        <v>1.58690859368581</v>
      </c>
      <c r="AO7" s="46" t="n">
        <f aca="false">_Engine_R50!G70/12</f>
        <v>1.57303645613914</v>
      </c>
      <c r="AP7" s="46" t="n">
        <f aca="false">_Engine_R50!G71/12</f>
        <v>1.55928558342202</v>
      </c>
      <c r="AQ7" s="46" t="n">
        <f aca="false">_Engine_R50!G72/12</f>
        <v>1.54565491548448</v>
      </c>
      <c r="AR7" s="46" t="n">
        <f aca="false">_Engine_R50!G73/12</f>
        <v>1.5321434015431</v>
      </c>
      <c r="AS7" s="46" t="n">
        <f aca="false">_Engine_R50!G74/12</f>
        <v>1.51875</v>
      </c>
      <c r="AT7" s="46" t="n">
        <f aca="false">_Engine_R50!G75/12</f>
        <v>1.50547367836255</v>
      </c>
      <c r="AU7" s="46" t="n">
        <f aca="false">_Engine_R50!G76/12</f>
        <v>1.49231341316377</v>
      </c>
      <c r="AV7" s="46" t="n">
        <f aca="false">_Engine_R50!G77/12</f>
        <v>1.47926818988342</v>
      </c>
      <c r="AW7" s="46" t="n">
        <f aca="false">_Engine_R50!G78/12</f>
        <v>1.4663370028698</v>
      </c>
      <c r="AX7" s="170" t="n">
        <f aca="false">_Engine_R50!G79/12</f>
        <v>1.45351885526224</v>
      </c>
      <c r="AY7" s="170" t="n">
        <f aca="false">_Engine_R50!G80/12</f>
        <v>1.44081275891422</v>
      </c>
      <c r="AZ7" s="170" t="n">
        <f aca="false">_Engine_R50!G81/12</f>
        <v>1.42821773431723</v>
      </c>
      <c r="BA7" s="170" t="n">
        <f aca="false">_Engine_R50!G82/12</f>
        <v>1.41573281052523</v>
      </c>
      <c r="BB7" s="170" t="n">
        <f aca="false">_Engine_R50!G83/12</f>
        <v>1.40335702507982</v>
      </c>
      <c r="BC7" s="170" t="n">
        <f aca="false">_Engine_R50!G84/12</f>
        <v>1.39108942393603</v>
      </c>
      <c r="BD7" s="170" t="n">
        <f aca="false">_Engine_R50!G85/12</f>
        <v>1.37892906138879</v>
      </c>
      <c r="BE7" s="170" t="n">
        <f aca="false">_Engine_R50!G86/12</f>
        <v>1.366875</v>
      </c>
      <c r="BF7" s="170" t="n">
        <f aca="false">_Engine_R50!G87/12</f>
        <v>1.3549263105263</v>
      </c>
      <c r="BG7" s="170" t="n">
        <f aca="false">_Engine_R50!G88/12</f>
        <v>1.3430820718474</v>
      </c>
      <c r="BH7" s="170" t="n">
        <f aca="false">_Engine_R50!G89/12</f>
        <v>1.33134137089508</v>
      </c>
      <c r="BI7" s="170" t="n">
        <f aca="false">_Engine_R50!G90/12</f>
        <v>1.31970330258282</v>
      </c>
      <c r="BJ7" s="46" t="n">
        <f aca="false">_Engine_R50!G91/12</f>
        <v>1.30816696973601</v>
      </c>
      <c r="BK7" s="46" t="n">
        <f aca="false">_Engine_R50!G92/12</f>
        <v>1.2967314830228</v>
      </c>
      <c r="BL7" s="46" t="n">
        <f aca="false">_Engine_R50!G93/12</f>
        <v>1.2853959608855</v>
      </c>
      <c r="BM7" s="46" t="n">
        <f aca="false">_Engine_R50!G94/12</f>
        <v>1.2741595294727</v>
      </c>
      <c r="BN7" s="46" t="n">
        <f aca="false">_Engine_R50!G95/12</f>
        <v>1.26302132257183</v>
      </c>
      <c r="BO7" s="46" t="n">
        <f aca="false">_Engine_R50!G96/12</f>
        <v>1.25198048154243</v>
      </c>
      <c r="BP7" s="46" t="n">
        <f aca="false">_Engine_R50!G97/12</f>
        <v>1.24103615524991</v>
      </c>
      <c r="BQ7" s="46" t="n">
        <f aca="false">_Engine_R50!G98/12</f>
        <v>1.2301875</v>
      </c>
      <c r="BR7" s="46" t="n">
        <f aca="false">_Engine_R50!G99/12</f>
        <v>1.21943367947367</v>
      </c>
      <c r="BS7" s="46" t="n">
        <f aca="false">_Engine_R50!G100/12</f>
        <v>1.20877386466266</v>
      </c>
      <c r="BT7" s="46" t="n">
        <f aca="false">_Engine_R50!G101/12</f>
        <v>1.19820723380557</v>
      </c>
      <c r="BU7" s="46" t="n">
        <f aca="false">_Engine_R50!G102/12</f>
        <v>1.18773297232454</v>
      </c>
      <c r="BV7" s="170" t="n">
        <f aca="false">_Engine_R50!G103/12</f>
        <v>1.17735027276241</v>
      </c>
      <c r="BW7" s="170" t="n">
        <f aca="false">_Engine_R50!G104/12</f>
        <v>1.16705833472052</v>
      </c>
      <c r="BX7" s="170" t="n">
        <f aca="false">_Engine_R50!G105/12</f>
        <v>1.15685636479695</v>
      </c>
      <c r="BY7" s="170" t="n">
        <f aca="false">_Engine_R50!G106/12</f>
        <v>1.14674357652543</v>
      </c>
      <c r="BZ7" s="170" t="n">
        <f aca="false">_Engine_R50!G107/12</f>
        <v>1.13671919031465</v>
      </c>
      <c r="CA7" s="170" t="n">
        <f aca="false">_Engine_R50!G108/12</f>
        <v>1.12678243338818</v>
      </c>
      <c r="CB7" s="170" t="n">
        <f aca="false">_Engine_R50!G109/12</f>
        <v>1.11693253972492</v>
      </c>
      <c r="CC7" s="170" t="n">
        <f aca="false">_Engine_R50!G110/12</f>
        <v>1.10716875</v>
      </c>
      <c r="CD7" s="170" t="n">
        <f aca="false">_Engine_R50!G111/12</f>
        <v>1.0974903115263</v>
      </c>
      <c r="CE7" s="170" t="n">
        <f aca="false">_Engine_R50!G112/12</f>
        <v>1.08789647819639</v>
      </c>
      <c r="CF7" s="170" t="n">
        <f aca="false">_Engine_R50!G113/12</f>
        <v>1.07838651042501</v>
      </c>
      <c r="CG7" s="170" t="n">
        <f aca="false">_Engine_R50!G114/12</f>
        <v>1.06895967509208</v>
      </c>
      <c r="CH7" s="46" t="n">
        <f aca="false">_Engine_R50!G115/12</f>
        <v>1.05961524548617</v>
      </c>
      <c r="CI7" s="46" t="n">
        <f aca="false">_Engine_R50!G116/12</f>
        <v>1.05035250124847</v>
      </c>
      <c r="CJ7" s="46" t="n">
        <f aca="false">_Engine_R50!G117/12</f>
        <v>1.04117072831726</v>
      </c>
      <c r="CK7" s="46" t="n">
        <f aca="false">_Engine_R50!G118/12</f>
        <v>1.03206921887289</v>
      </c>
      <c r="CL7" s="46" t="n">
        <f aca="false">_Engine_R50!G119/12</f>
        <v>1.02304727128319</v>
      </c>
      <c r="CM7" s="46" t="n">
        <f aca="false">_Engine_R50!G120/12</f>
        <v>1.01410419004936</v>
      </c>
      <c r="CN7" s="46" t="n">
        <f aca="false">_Engine_R50!G121/12</f>
        <v>1.00523928575243</v>
      </c>
      <c r="CO7" s="46" t="n">
        <f aca="false">_Engine_R50!G122/12</f>
        <v>0.996451875</v>
      </c>
      <c r="CP7" s="46" t="n">
        <f aca="false">_Engine_R50!G123/12</f>
        <v>0.987741280373672</v>
      </c>
      <c r="CQ7" s="46" t="n">
        <f aca="false">_Engine_R50!G124/12</f>
        <v>0.979106830376752</v>
      </c>
      <c r="CR7" s="46" t="n">
        <f aca="false">_Engine_R50!G125/12</f>
        <v>0.970547859382512</v>
      </c>
      <c r="CS7" s="46" t="n">
        <f aca="false">_Engine_R50!G126/12</f>
        <v>0.962063707582876</v>
      </c>
      <c r="CT7" s="170" t="n">
        <f aca="false">_Engine_R50!G127/12</f>
        <v>0.953653720937553</v>
      </c>
      <c r="CU7" s="170" t="n">
        <f aca="false">_Engine_R50!G128/12</f>
        <v>0.945317251123619</v>
      </c>
      <c r="CV7" s="170" t="n">
        <f aca="false">_Engine_R50!G129/12</f>
        <v>0.937053655485533</v>
      </c>
      <c r="CW7" s="170" t="n">
        <f aca="false">_Engine_R50!G130/12</f>
        <v>0.928862296985602</v>
      </c>
      <c r="CX7" s="170" t="n">
        <f aca="false">_Engine_R50!G131/12</f>
        <v>0.920742544154868</v>
      </c>
      <c r="CY7" s="170" t="n">
        <f aca="false">_Engine_R50!G132/12</f>
        <v>0.912693771044428</v>
      </c>
      <c r="CZ7" s="170" t="n">
        <f aca="false">_Engine_R50!G133/12</f>
        <v>0.904715357177183</v>
      </c>
      <c r="DA7" s="170" t="n">
        <f aca="false">_Engine_R50!G134/12</f>
        <v>0.8968066875</v>
      </c>
      <c r="DB7" s="170" t="n">
        <f aca="false">_Engine_R50!G135/12</f>
        <v>0.888967152336305</v>
      </c>
      <c r="DC7" s="170" t="n">
        <f aca="false">_Engine_R50!G136/12</f>
        <v>0.881196147339077</v>
      </c>
      <c r="DD7" s="170" t="n">
        <f aca="false">_Engine_R50!G137/12</f>
        <v>0.873493073444261</v>
      </c>
      <c r="DE7" s="170" t="n">
        <f aca="false">_Engine_R50!G138/12</f>
        <v>0.865857336824588</v>
      </c>
      <c r="DF7" s="46" t="n">
        <f aca="false">_Engine_R50!G139/12</f>
        <v>0.858288348843798</v>
      </c>
      <c r="DG7" s="46" t="n">
        <f aca="false">_Engine_R50!G140/12</f>
        <v>0.850785526011257</v>
      </c>
      <c r="DH7" s="46" t="n">
        <f aca="false">_Engine_R50!G141/12</f>
        <v>0.843348289936979</v>
      </c>
      <c r="DI7" s="46" t="n">
        <f aca="false">_Engine_R50!G142/12</f>
        <v>0.835976067287041</v>
      </c>
      <c r="DJ7" s="46" t="n">
        <f aca="false">_Engine_R50!G143/12</f>
        <v>0.828668289739381</v>
      </c>
      <c r="DK7" s="46" t="n">
        <f aca="false">_Engine_R50!G144/12</f>
        <v>0.821424393939985</v>
      </c>
      <c r="DL7" s="46" t="n">
        <f aca="false">_Engine_R50!G145/12</f>
        <v>0.814243821459464</v>
      </c>
      <c r="DM7" s="46" t="n">
        <f aca="false">_Engine_R50!G146/12</f>
        <v>0.80712601875</v>
      </c>
      <c r="DN7" s="46" t="n">
        <f aca="false">_Engine_R50!G147/12</f>
        <v>0.800070437102674</v>
      </c>
      <c r="DO7" s="46" t="n">
        <f aca="false">_Engine_R50!G148/12</f>
        <v>0.793076532605169</v>
      </c>
      <c r="DP7" s="46" t="n">
        <f aca="false">_Engine_R50!G149/12</f>
        <v>0.786143766099835</v>
      </c>
      <c r="DQ7" s="46" t="n">
        <f aca="false">_Engine_R50!G150/12</f>
        <v>0.77927160314213</v>
      </c>
      <c r="DR7" s="170" t="n">
        <f aca="false">_Engine_R50!G151/12</f>
        <v>0.772459513959419</v>
      </c>
      <c r="DS7" s="170" t="n">
        <f aca="false">_Engine_R50!G152/12</f>
        <v>0.765706973410131</v>
      </c>
      <c r="DT7" s="170" t="n">
        <f aca="false">_Engine_R50!G153/12</f>
        <v>0.759013460943281</v>
      </c>
      <c r="DU7" s="170" t="n">
        <f aca="false">_Engine_R50!G154/12</f>
        <v>0.752378460558337</v>
      </c>
      <c r="DV7" s="170" t="n">
        <f aca="false">_Engine_R50!G155/12</f>
        <v>0.745801460765443</v>
      </c>
      <c r="DW7" s="170" t="n">
        <f aca="false">_Engine_R50!G156/12</f>
        <v>0.739281954545987</v>
      </c>
      <c r="DX7" s="170" t="n">
        <f aca="false">_Engine_R50!G157/12</f>
        <v>0.732819439313518</v>
      </c>
      <c r="DY7" s="170" t="n">
        <f aca="false">_Engine_R50!G158/12</f>
        <v>0.726413416875</v>
      </c>
      <c r="DZ7" s="170" t="n">
        <f aca="false">_Engine_R50!G159/12</f>
        <v>0.720063393392407</v>
      </c>
      <c r="EA7" s="170" t="n">
        <f aca="false">_Engine_R50!G160/12</f>
        <v>0.713768879344652</v>
      </c>
      <c r="EB7" s="170" t="n">
        <f aca="false">_Engine_R50!G161/12</f>
        <v>0.707529389489851</v>
      </c>
      <c r="EC7" s="170" t="n">
        <f aca="false">_Engine_R50!G162/12</f>
        <v>0.701344442827917</v>
      </c>
      <c r="ED7" s="46" t="n">
        <f aca="false">_Engine_R50!G163/12</f>
        <v>0.695213562563477</v>
      </c>
      <c r="EE7" s="46" t="n">
        <f aca="false">_Engine_R50!G164/12</f>
        <v>0.689136276069118</v>
      </c>
      <c r="EF7" s="46" t="n">
        <f aca="false">_Engine_R50!G165/12</f>
        <v>0.683112114848953</v>
      </c>
      <c r="EG7" s="46" t="n">
        <f aca="false">_Engine_R50!G166/12</f>
        <v>0.677140614502504</v>
      </c>
      <c r="EH7" s="46" t="n">
        <f aca="false">_Engine_R50!G167/12</f>
        <v>0.671221314688899</v>
      </c>
      <c r="EI7" s="46" t="n">
        <f aca="false">_Engine_R50!G168/12</f>
        <v>0.665353759091388</v>
      </c>
      <c r="EJ7" s="46" t="n">
        <f aca="false">_Engine_R50!G169/12</f>
        <v>0.659537495382166</v>
      </c>
      <c r="EK7" s="46" t="n">
        <f aca="false">_Engine_R50!G170/12</f>
        <v>0.6537720751875</v>
      </c>
      <c r="EL7" s="46" t="n">
        <f aca="false">_Engine_R50!G171/12</f>
        <v>0.648057054053166</v>
      </c>
      <c r="EM7" s="46" t="n">
        <f aca="false">_Engine_R50!G172/12</f>
        <v>0.642391991410187</v>
      </c>
      <c r="EN7" s="46" t="n">
        <f aca="false">_Engine_R50!G173/12</f>
        <v>0.636776450540866</v>
      </c>
      <c r="EO7" s="46" t="n">
        <f aca="false">_Engine_R50!G174/12</f>
        <v>0.631209998545125</v>
      </c>
      <c r="EP7" s="170" t="n">
        <f aca="false">_Engine_R50!G175/12</f>
        <v>0.625692206307129</v>
      </c>
      <c r="EQ7" s="170" t="n">
        <f aca="false">_Engine_R50!G176/12</f>
        <v>0.620222648462206</v>
      </c>
      <c r="ER7" s="170" t="n">
        <f aca="false">_Engine_R50!G177/12</f>
        <v>0.614800903364058</v>
      </c>
      <c r="ES7" s="170" t="n">
        <f aca="false">_Engine_R50!G178/12</f>
        <v>0.609426553052253</v>
      </c>
      <c r="ET7" s="170" t="n">
        <f aca="false">_Engine_R50!G179/12</f>
        <v>0.604099183220009</v>
      </c>
      <c r="EU7" s="170" t="n">
        <f aca="false">_Engine_R50!G180/12</f>
        <v>0.598818383182249</v>
      </c>
      <c r="EV7" s="170" t="n">
        <f aca="false">_Engine_R50!G181/12</f>
        <v>0.59358374584395</v>
      </c>
      <c r="EW7" s="170" t="n">
        <f aca="false">_Engine_R50!G182/12</f>
        <v>0.58839486766875</v>
      </c>
      <c r="EX7" s="170" t="n">
        <f aca="false">_Engine_R50!G183/12</f>
        <v>0.58325134864785</v>
      </c>
      <c r="EY7" s="170" t="n">
        <f aca="false">_Engine_R50!G184/12</f>
        <v>0.578152792269168</v>
      </c>
      <c r="EZ7" s="170" t="n">
        <f aca="false">_Engine_R50!G185/12</f>
        <v>0.573098805486779</v>
      </c>
      <c r="FA7" s="170" t="n">
        <f aca="false">_Engine_R50!G186/12</f>
        <v>0.568088998690613</v>
      </c>
      <c r="FB7" s="46" t="n">
        <f aca="false">_Engine_R50!G187/12</f>
        <v>0.563122985676416</v>
      </c>
      <c r="FC7" s="46" t="n">
        <f aca="false">_Engine_R50!G188/12</f>
        <v>0.558200383615986</v>
      </c>
      <c r="FD7" s="46" t="n">
        <f aca="false">_Engine_R50!G189/12</f>
        <v>0.553320813027652</v>
      </c>
      <c r="FE7" s="46" t="n">
        <f aca="false">_Engine_R50!G190/12</f>
        <v>0.548483897747028</v>
      </c>
      <c r="FF7" s="46" t="n">
        <f aca="false">_Engine_R50!G191/12</f>
        <v>0.543689264898008</v>
      </c>
      <c r="FG7" s="46" t="n">
        <f aca="false">_Engine_R50!G192/12</f>
        <v>0.538936544864024</v>
      </c>
      <c r="FH7" s="46" t="n">
        <f aca="false">_Engine_R50!G193/12</f>
        <v>0.534225371259555</v>
      </c>
      <c r="FI7" s="46" t="n">
        <f aca="false">_Engine_R50!G194/12</f>
        <v>0.529555380901875</v>
      </c>
      <c r="FJ7" s="46" t="n">
        <f aca="false">_Engine_R50!G195/12</f>
        <v>0.524926213783065</v>
      </c>
      <c r="FK7" s="46" t="n">
        <f aca="false">_Engine_R50!G196/12</f>
        <v>0.520337513042251</v>
      </c>
      <c r="FL7" s="46" t="n">
        <f aca="false">_Engine_R50!G197/12</f>
        <v>0.515788924938102</v>
      </c>
      <c r="FM7" s="46" t="n">
        <f aca="false">_Engine_R50!G198/12</f>
        <v>0.511280098821551</v>
      </c>
      <c r="FN7" s="170" t="n">
        <f aca="false">_Engine_R50!G199/12</f>
        <v>0.506810687108774</v>
      </c>
      <c r="FO7" s="170" t="n">
        <f aca="false">_Engine_R50!G200/12</f>
        <v>0.502380345254387</v>
      </c>
      <c r="FP7" s="170" t="n">
        <f aca="false">_Engine_R50!G201/12</f>
        <v>0.497988731724887</v>
      </c>
      <c r="FQ7" s="170" t="n">
        <f aca="false">_Engine_R50!G202/12</f>
        <v>0.493635507972325</v>
      </c>
      <c r="FR7" s="170" t="n">
        <f aca="false">_Engine_R50!G203/12</f>
        <v>0.489320338408207</v>
      </c>
      <c r="FS7" s="170" t="n">
        <f aca="false">_Engine_R50!G204/12</f>
        <v>0.485042890377622</v>
      </c>
      <c r="FT7" s="170" t="n">
        <f aca="false">_Engine_R50!G205/12</f>
        <v>0.480802834133599</v>
      </c>
      <c r="FU7" s="170" t="n">
        <f aca="false">_Engine_R50!G206/12</f>
        <v>0.476599842811688</v>
      </c>
      <c r="FV7" s="170" t="n">
        <f aca="false">_Engine_R50!G207/12</f>
        <v>0.472433592404758</v>
      </c>
      <c r="FW7" s="170" t="n">
        <f aca="false">_Engine_R50!G208/12</f>
        <v>0.468303761738026</v>
      </c>
      <c r="FX7" s="170" t="n">
        <f aca="false">_Engine_R50!G209/12</f>
        <v>0.464210032444291</v>
      </c>
      <c r="FY7" s="170" t="n">
        <f aca="false">_Engine_R50!G210/12</f>
        <v>0.460152088939396</v>
      </c>
      <c r="FZ7" s="1"/>
    </row>
    <row r="8" customFormat="false" ht="15" hidden="false" customHeight="true" outlineLevel="0" collapsed="false">
      <c r="A8" s="17" t="s">
        <v>427</v>
      </c>
      <c r="B8" s="170" t="n">
        <f aca="false">_Engine_R50!H31/12</f>
        <v>0</v>
      </c>
      <c r="C8" s="170" t="n">
        <f aca="false">_Engine_R50!H32/12</f>
        <v>0</v>
      </c>
      <c r="D8" s="170" t="n">
        <f aca="false">_Engine_R50!H33/12</f>
        <v>0</v>
      </c>
      <c r="E8" s="170" t="n">
        <f aca="false">_Engine_R50!H34/12</f>
        <v>0</v>
      </c>
      <c r="F8" s="170" t="n">
        <f aca="false">_Engine_R50!H35/12</f>
        <v>0</v>
      </c>
      <c r="G8" s="170" t="n">
        <f aca="false">_Engine_R50!H36/12</f>
        <v>0</v>
      </c>
      <c r="H8" s="170" t="n">
        <f aca="false">_Engine_R50!H37/12</f>
        <v>0</v>
      </c>
      <c r="I8" s="170" t="n">
        <f aca="false">_Engine_R50!H38/12</f>
        <v>0</v>
      </c>
      <c r="J8" s="170" t="n">
        <f aca="false">_Engine_R50!H39/12</f>
        <v>0</v>
      </c>
      <c r="K8" s="170" t="n">
        <f aca="false">_Engine_R50!H40/12</f>
        <v>0</v>
      </c>
      <c r="L8" s="170" t="n">
        <f aca="false">_Engine_R50!H41/12</f>
        <v>0</v>
      </c>
      <c r="M8" s="170" t="n">
        <f aca="false">_Engine_R50!H42/12</f>
        <v>2.08333333333333</v>
      </c>
      <c r="N8" s="46" t="n">
        <f aca="false">_Engine_R50!H43/12</f>
        <v>2.05530844372527</v>
      </c>
      <c r="O8" s="46" t="n">
        <f aca="false">_Engine_R50!H44/12</f>
        <v>2.02766054344723</v>
      </c>
      <c r="P8" s="46" t="n">
        <f aca="false">_Engine_R50!H45/12</f>
        <v>2.00038456125872</v>
      </c>
      <c r="Q8" s="46" t="n">
        <f aca="false">_Engine_R50!H46/12</f>
        <v>1.97347549413731</v>
      </c>
      <c r="R8" s="46" t="n">
        <f aca="false">_Engine_R50!H47/12</f>
        <v>1.94692840636095</v>
      </c>
      <c r="S8" s="46" t="n">
        <f aca="false">_Engine_R50!H48/12</f>
        <v>1.92073842860269</v>
      </c>
      <c r="T8" s="46" t="n">
        <f aca="false">_Engine_R50!H49/12</f>
        <v>1.89490075703746</v>
      </c>
      <c r="U8" s="46" t="n">
        <f aca="false">_Engine_R50!H50/12</f>
        <v>1.86941065246104</v>
      </c>
      <c r="V8" s="46" t="n">
        <f aca="false">_Engine_R50!H51/12</f>
        <v>1.84426343942071</v>
      </c>
      <c r="W8" s="46" t="n">
        <f aca="false">_Engine_R50!H52/12</f>
        <v>1.8194545053577</v>
      </c>
      <c r="X8" s="46" t="n">
        <f aca="false">_Engine_R50!H53/12</f>
        <v>1.79497929976112</v>
      </c>
      <c r="Y8" s="46" t="n">
        <f aca="false">_Engine_R50!H54/12</f>
        <v>1.77083333333333</v>
      </c>
      <c r="Z8" s="170" t="n">
        <f aca="false">_Engine_R50!H55/12</f>
        <v>1.74701217716648</v>
      </c>
      <c r="AA8" s="170" t="n">
        <f aca="false">_Engine_R50!H56/12</f>
        <v>1.72351146193015</v>
      </c>
      <c r="AB8" s="170" t="n">
        <f aca="false">_Engine_R50!H57/12</f>
        <v>1.70032687706992</v>
      </c>
      <c r="AC8" s="170" t="n">
        <f aca="false">_Engine_R50!H58/12</f>
        <v>1.67745417001671</v>
      </c>
      <c r="AD8" s="170" t="n">
        <f aca="false">_Engine_R50!H59/12</f>
        <v>1.65488914540681</v>
      </c>
      <c r="AE8" s="170" t="n">
        <f aca="false">_Engine_R50!H60/12</f>
        <v>1.63262766431228</v>
      </c>
      <c r="AF8" s="170" t="n">
        <f aca="false">_Engine_R50!H61/12</f>
        <v>1.61066564348184</v>
      </c>
      <c r="AG8" s="170" t="n">
        <f aca="false">_Engine_R50!H62/12</f>
        <v>1.58899905459189</v>
      </c>
      <c r="AH8" s="170" t="n">
        <f aca="false">_Engine_R50!H63/12</f>
        <v>1.56762392350761</v>
      </c>
      <c r="AI8" s="170" t="n">
        <f aca="false">_Engine_R50!H64/12</f>
        <v>1.54653632955404</v>
      </c>
      <c r="AJ8" s="170" t="n">
        <f aca="false">_Engine_R50!H65/12</f>
        <v>1.52573240479695</v>
      </c>
      <c r="AK8" s="170" t="n">
        <f aca="false">_Engine_R50!H66/12</f>
        <v>1.50520833333333</v>
      </c>
      <c r="AL8" s="46" t="n">
        <f aca="false">_Engine_R50!H67/12</f>
        <v>1.48496035059151</v>
      </c>
      <c r="AM8" s="46" t="n">
        <f aca="false">_Engine_R50!H68/12</f>
        <v>1.46498474264063</v>
      </c>
      <c r="AN8" s="46" t="n">
        <f aca="false">_Engine_R50!H69/12</f>
        <v>1.44527784550943</v>
      </c>
      <c r="AO8" s="46" t="n">
        <f aca="false">_Engine_R50!H70/12</f>
        <v>1.42583604451421</v>
      </c>
      <c r="AP8" s="46" t="n">
        <f aca="false">_Engine_R50!H71/12</f>
        <v>1.40665577359579</v>
      </c>
      <c r="AQ8" s="46" t="n">
        <f aca="false">_Engine_R50!H72/12</f>
        <v>1.38773351466544</v>
      </c>
      <c r="AR8" s="46" t="n">
        <f aca="false">_Engine_R50!H73/12</f>
        <v>1.36906579695957</v>
      </c>
      <c r="AS8" s="46" t="n">
        <f aca="false">_Engine_R50!H74/12</f>
        <v>1.3506491964031</v>
      </c>
      <c r="AT8" s="46" t="n">
        <f aca="false">_Engine_R50!H75/12</f>
        <v>1.33248033498147</v>
      </c>
      <c r="AU8" s="46" t="n">
        <f aca="false">_Engine_R50!H76/12</f>
        <v>1.31455588012094</v>
      </c>
      <c r="AV8" s="46" t="n">
        <f aca="false">_Engine_R50!H77/12</f>
        <v>1.29687254407741</v>
      </c>
      <c r="AW8" s="46" t="n">
        <f aca="false">_Engine_R50!H78/12</f>
        <v>1.27942708333333</v>
      </c>
      <c r="AX8" s="170" t="n">
        <f aca="false">_Engine_R50!H79/12</f>
        <v>1.26221629800278</v>
      </c>
      <c r="AY8" s="170" t="n">
        <f aca="false">_Engine_R50!H80/12</f>
        <v>1.24523703124453</v>
      </c>
      <c r="AZ8" s="170" t="n">
        <f aca="false">_Engine_R50!H81/12</f>
        <v>1.22848616868301</v>
      </c>
      <c r="BA8" s="170" t="n">
        <f aca="false">_Engine_R50!H82/12</f>
        <v>1.21196063783708</v>
      </c>
      <c r="BB8" s="170" t="n">
        <f aca="false">_Engine_R50!H83/12</f>
        <v>1.19565740755642</v>
      </c>
      <c r="BC8" s="170" t="n">
        <f aca="false">_Engine_R50!H84/12</f>
        <v>1.17957348746562</v>
      </c>
      <c r="BD8" s="170" t="n">
        <f aca="false">_Engine_R50!H85/12</f>
        <v>1.16370592741563</v>
      </c>
      <c r="BE8" s="170" t="n">
        <f aca="false">_Engine_R50!H86/12</f>
        <v>1.14805181694264</v>
      </c>
      <c r="BF8" s="170" t="n">
        <f aca="false">_Engine_R50!H87/12</f>
        <v>1.13260828473425</v>
      </c>
      <c r="BG8" s="170" t="n">
        <f aca="false">_Engine_R50!H88/12</f>
        <v>1.1173724981028</v>
      </c>
      <c r="BH8" s="170" t="n">
        <f aca="false">_Engine_R50!H89/12</f>
        <v>1.1023416624658</v>
      </c>
      <c r="BI8" s="170" t="n">
        <f aca="false">_Engine_R50!H90/12</f>
        <v>1.08751302083333</v>
      </c>
      <c r="BJ8" s="46" t="n">
        <f aca="false">_Engine_R50!H91/12</f>
        <v>1.07288385330237</v>
      </c>
      <c r="BK8" s="46" t="n">
        <f aca="false">_Engine_R50!H92/12</f>
        <v>1.05845147655785</v>
      </c>
      <c r="BL8" s="46" t="n">
        <f aca="false">_Engine_R50!H93/12</f>
        <v>1.04421324338056</v>
      </c>
      <c r="BM8" s="46" t="n">
        <f aca="false">_Engine_R50!H94/12</f>
        <v>1.03016654216152</v>
      </c>
      <c r="BN8" s="46" t="n">
        <f aca="false">_Engine_R50!H95/12</f>
        <v>1.01630879642296</v>
      </c>
      <c r="BO8" s="46" t="n">
        <f aca="false">_Engine_R50!H96/12</f>
        <v>1.00263746434578</v>
      </c>
      <c r="BP8" s="46" t="n">
        <f aca="false">_Engine_R50!H97/12</f>
        <v>0.989150038303286</v>
      </c>
      <c r="BQ8" s="46" t="n">
        <f aca="false">_Engine_R50!H98/12</f>
        <v>0.975844044401242</v>
      </c>
      <c r="BR8" s="46" t="n">
        <f aca="false">_Engine_R50!H99/12</f>
        <v>0.962717042024109</v>
      </c>
      <c r="BS8" s="46" t="n">
        <f aca="false">_Engine_R50!H100/12</f>
        <v>0.949766623387378</v>
      </c>
      <c r="BT8" s="46" t="n">
        <f aca="false">_Engine_R50!H101/12</f>
        <v>0.936990413095929</v>
      </c>
      <c r="BU8" s="46" t="n">
        <f aca="false">_Engine_R50!H102/12</f>
        <v>0.924386067708333</v>
      </c>
      <c r="BV8" s="170" t="n">
        <f aca="false">_Engine_R50!H103/12</f>
        <v>0.911951275307011</v>
      </c>
      <c r="BW8" s="170" t="n">
        <f aca="false">_Engine_R50!H104/12</f>
        <v>0.899683755074175</v>
      </c>
      <c r="BX8" s="170" t="n">
        <f aca="false">_Engine_R50!H105/12</f>
        <v>0.887581256873478</v>
      </c>
      <c r="BY8" s="170" t="n">
        <f aca="false">_Engine_R50!H106/12</f>
        <v>0.875641560837288</v>
      </c>
      <c r="BZ8" s="170" t="n">
        <f aca="false">_Engine_R50!H107/12</f>
        <v>0.863862476959514</v>
      </c>
      <c r="CA8" s="170" t="n">
        <f aca="false">_Engine_R50!H108/12</f>
        <v>0.852241844693913</v>
      </c>
      <c r="CB8" s="170" t="n">
        <f aca="false">_Engine_R50!H109/12</f>
        <v>0.840777532557793</v>
      </c>
      <c r="CC8" s="170" t="n">
        <f aca="false">_Engine_R50!H110/12</f>
        <v>0.829467437741056</v>
      </c>
      <c r="CD8" s="170" t="n">
        <f aca="false">_Engine_R50!H111/12</f>
        <v>0.818309485720493</v>
      </c>
      <c r="CE8" s="170" t="n">
        <f aca="false">_Engine_R50!H112/12</f>
        <v>0.807301629879271</v>
      </c>
      <c r="CF8" s="170" t="n">
        <f aca="false">_Engine_R50!H113/12</f>
        <v>0.796441851131539</v>
      </c>
      <c r="CG8" s="170" t="n">
        <f aca="false">_Engine_R50!H114/12</f>
        <v>0.785728157552083</v>
      </c>
      <c r="CH8" s="46" t="n">
        <f aca="false">_Engine_R50!H115/12</f>
        <v>0.775158584010959</v>
      </c>
      <c r="CI8" s="46" t="n">
        <f aca="false">_Engine_R50!H116/12</f>
        <v>0.764731191813048</v>
      </c>
      <c r="CJ8" s="46" t="n">
        <f aca="false">_Engine_R50!H117/12</f>
        <v>0.754444068342456</v>
      </c>
      <c r="CK8" s="46" t="n">
        <f aca="false">_Engine_R50!H118/12</f>
        <v>0.744295326711695</v>
      </c>
      <c r="CL8" s="46" t="n">
        <f aca="false">_Engine_R50!H119/12</f>
        <v>0.734283105415587</v>
      </c>
      <c r="CM8" s="46" t="n">
        <f aca="false">_Engine_R50!H120/12</f>
        <v>0.724405567989826</v>
      </c>
      <c r="CN8" s="46" t="n">
        <f aca="false">_Engine_R50!H121/12</f>
        <v>0.714660902674124</v>
      </c>
      <c r="CO8" s="46" t="n">
        <f aca="false">_Engine_R50!H122/12</f>
        <v>0.705047322079897</v>
      </c>
      <c r="CP8" s="46" t="n">
        <f aca="false">_Engine_R50!H123/12</f>
        <v>0.695563062862419</v>
      </c>
      <c r="CQ8" s="46" t="n">
        <f aca="false">_Engine_R50!H124/12</f>
        <v>0.68620638539738</v>
      </c>
      <c r="CR8" s="46" t="n">
        <f aca="false">_Engine_R50!H125/12</f>
        <v>0.676975573461809</v>
      </c>
      <c r="CS8" s="46" t="n">
        <f aca="false">_Engine_R50!H126/12</f>
        <v>0.667868933919271</v>
      </c>
      <c r="CT8" s="170" t="n">
        <f aca="false">_Engine_R50!H127/12</f>
        <v>0.658884796409315</v>
      </c>
      <c r="CU8" s="170" t="n">
        <f aca="false">_Engine_R50!H128/12</f>
        <v>0.650021513041091</v>
      </c>
      <c r="CV8" s="170" t="n">
        <f aca="false">_Engine_R50!H129/12</f>
        <v>0.641277458091088</v>
      </c>
      <c r="CW8" s="170" t="n">
        <f aca="false">_Engine_R50!H130/12</f>
        <v>0.63265102770494</v>
      </c>
      <c r="CX8" s="170" t="n">
        <f aca="false">_Engine_R50!H131/12</f>
        <v>0.624140639603249</v>
      </c>
      <c r="CY8" s="170" t="n">
        <f aca="false">_Engine_R50!H132/12</f>
        <v>0.615744732791352</v>
      </c>
      <c r="CZ8" s="170" t="n">
        <f aca="false">_Engine_R50!H133/12</f>
        <v>0.607461767273006</v>
      </c>
      <c r="DA8" s="170" t="n">
        <f aca="false">_Engine_R50!H134/12</f>
        <v>0.599290223767913</v>
      </c>
      <c r="DB8" s="170" t="n">
        <f aca="false">_Engine_R50!H135/12</f>
        <v>0.591228603433056</v>
      </c>
      <c r="DC8" s="170" t="n">
        <f aca="false">_Engine_R50!H136/12</f>
        <v>0.583275427587773</v>
      </c>
      <c r="DD8" s="170" t="n">
        <f aca="false">_Engine_R50!H137/12</f>
        <v>0.575429237442537</v>
      </c>
      <c r="DE8" s="170" t="n">
        <f aca="false">_Engine_R50!H138/12</f>
        <v>0.56768859383138</v>
      </c>
      <c r="DF8" s="46" t="n">
        <f aca="false">_Engine_R50!H139/12</f>
        <v>0.560052076947918</v>
      </c>
      <c r="DG8" s="46" t="n">
        <f aca="false">_Engine_R50!H140/12</f>
        <v>0.552518286084928</v>
      </c>
      <c r="DH8" s="46" t="n">
        <f aca="false">_Engine_R50!H141/12</f>
        <v>0.545085839377424</v>
      </c>
      <c r="DI8" s="46" t="n">
        <f aca="false">_Engine_R50!H142/12</f>
        <v>0.537753373549199</v>
      </c>
      <c r="DJ8" s="46" t="n">
        <f aca="false">_Engine_R50!H143/12</f>
        <v>0.530519543662762</v>
      </c>
      <c r="DK8" s="46" t="n">
        <f aca="false">_Engine_R50!H144/12</f>
        <v>0.523383022872649</v>
      </c>
      <c r="DL8" s="46" t="n">
        <f aca="false">_Engine_R50!H145/12</f>
        <v>0.516342502182055</v>
      </c>
      <c r="DM8" s="46" t="n">
        <f aca="false">_Engine_R50!H146/12</f>
        <v>0.509396690202726</v>
      </c>
      <c r="DN8" s="46" t="n">
        <f aca="false">_Engine_R50!H147/12</f>
        <v>0.502544312918097</v>
      </c>
      <c r="DO8" s="46" t="n">
        <f aca="false">_Engine_R50!H148/12</f>
        <v>0.495784113449607</v>
      </c>
      <c r="DP8" s="46" t="n">
        <f aca="false">_Engine_R50!H149/12</f>
        <v>0.489114851826157</v>
      </c>
      <c r="DQ8" s="46" t="n">
        <f aca="false">_Engine_R50!H150/12</f>
        <v>0.482535304756673</v>
      </c>
      <c r="DR8" s="170" t="n">
        <f aca="false">_Engine_R50!H151/12</f>
        <v>0.47604426540573</v>
      </c>
      <c r="DS8" s="170" t="n">
        <f aca="false">_Engine_R50!H152/12</f>
        <v>0.469640543172188</v>
      </c>
      <c r="DT8" s="170" t="n">
        <f aca="false">_Engine_R50!H153/12</f>
        <v>0.463322963470811</v>
      </c>
      <c r="DU8" s="170" t="n">
        <f aca="false">_Engine_R50!H154/12</f>
        <v>0.457090367516819</v>
      </c>
      <c r="DV8" s="170" t="n">
        <f aca="false">_Engine_R50!H155/12</f>
        <v>0.450941612113347</v>
      </c>
      <c r="DW8" s="170" t="n">
        <f aca="false">_Engine_R50!H156/12</f>
        <v>0.444875569441752</v>
      </c>
      <c r="DX8" s="170" t="n">
        <f aca="false">_Engine_R50!H157/12</f>
        <v>0.438891126854746</v>
      </c>
      <c r="DY8" s="170" t="n">
        <f aca="false">_Engine_R50!H158/12</f>
        <v>0.432987186672317</v>
      </c>
      <c r="DZ8" s="170" t="n">
        <f aca="false">_Engine_R50!H159/12</f>
        <v>0.427162665980383</v>
      </c>
      <c r="EA8" s="170" t="n">
        <f aca="false">_Engine_R50!H160/12</f>
        <v>0.421416496432166</v>
      </c>
      <c r="EB8" s="170" t="n">
        <f aca="false">_Engine_R50!H161/12</f>
        <v>0.415747624052233</v>
      </c>
      <c r="EC8" s="170" t="n">
        <f aca="false">_Engine_R50!H162/12</f>
        <v>0.410155009043172</v>
      </c>
      <c r="ED8" s="46" t="n">
        <f aca="false">_Engine_R50!H163/12</f>
        <v>0.404637625594871</v>
      </c>
      <c r="EE8" s="46" t="n">
        <f aca="false">_Engine_R50!H164/12</f>
        <v>0.39919446169636</v>
      </c>
      <c r="EF8" s="46" t="n">
        <f aca="false">_Engine_R50!H165/12</f>
        <v>0.393824518950189</v>
      </c>
      <c r="EG8" s="46" t="n">
        <f aca="false">_Engine_R50!H166/12</f>
        <v>0.388526812389296</v>
      </c>
      <c r="EH8" s="46" t="n">
        <f aca="false">_Engine_R50!H167/12</f>
        <v>0.383300370296345</v>
      </c>
      <c r="EI8" s="46" t="n">
        <f aca="false">_Engine_R50!H168/12</f>
        <v>0.378144234025489</v>
      </c>
      <c r="EJ8" s="46" t="n">
        <f aca="false">_Engine_R50!H169/12</f>
        <v>0.373057457826534</v>
      </c>
      <c r="EK8" s="46" t="n">
        <f aca="false">_Engine_R50!H170/12</f>
        <v>0.368039108671469</v>
      </c>
      <c r="EL8" s="46" t="n">
        <f aca="false">_Engine_R50!H171/12</f>
        <v>0.363088266083325</v>
      </c>
      <c r="EM8" s="46" t="n">
        <f aca="false">_Engine_R50!H172/12</f>
        <v>0.358204021967341</v>
      </c>
      <c r="EN8" s="46" t="n">
        <f aca="false">_Engine_R50!H173/12</f>
        <v>0.353385480444398</v>
      </c>
      <c r="EO8" s="46" t="n">
        <f aca="false">_Engine_R50!H174/12</f>
        <v>0.348631757686696</v>
      </c>
      <c r="EP8" s="170" t="n">
        <f aca="false">_Engine_R50!H175/12</f>
        <v>0.34394198175564</v>
      </c>
      <c r="EQ8" s="170" t="n">
        <f aca="false">_Engine_R50!H176/12</f>
        <v>0.339315292441906</v>
      </c>
      <c r="ER8" s="170" t="n">
        <f aca="false">_Engine_R50!H177/12</f>
        <v>0.334750841107661</v>
      </c>
      <c r="ES8" s="170" t="n">
        <f aca="false">_Engine_R50!H178/12</f>
        <v>0.330247790530902</v>
      </c>
      <c r="ET8" s="170" t="n">
        <f aca="false">_Engine_R50!H179/12</f>
        <v>0.325805314751894</v>
      </c>
      <c r="EU8" s="170" t="n">
        <f aca="false">_Engine_R50!H180/12</f>
        <v>0.321422598921666</v>
      </c>
      <c r="EV8" s="170" t="n">
        <f aca="false">_Engine_R50!H181/12</f>
        <v>0.317098839152554</v>
      </c>
      <c r="EW8" s="170" t="n">
        <f aca="false">_Engine_R50!H182/12</f>
        <v>0.312833242370749</v>
      </c>
      <c r="EX8" s="170" t="n">
        <f aca="false">_Engine_R50!H183/12</f>
        <v>0.308625026170827</v>
      </c>
      <c r="EY8" s="170" t="n">
        <f aca="false">_Engine_R50!H184/12</f>
        <v>0.30447341867224</v>
      </c>
      <c r="EZ8" s="170" t="n">
        <f aca="false">_Engine_R50!H185/12</f>
        <v>0.300377658377738</v>
      </c>
      <c r="FA8" s="170" t="n">
        <f aca="false">_Engine_R50!H186/12</f>
        <v>0.296336994033692</v>
      </c>
      <c r="FB8" s="46" t="n">
        <f aca="false">_Engine_R50!H187/12</f>
        <v>0.292350684492294</v>
      </c>
      <c r="FC8" s="46" t="n">
        <f aca="false">_Engine_R50!H188/12</f>
        <v>0.28841799857562</v>
      </c>
      <c r="FD8" s="46" t="n">
        <f aca="false">_Engine_R50!H189/12</f>
        <v>0.284538214941512</v>
      </c>
      <c r="FE8" s="46" t="n">
        <f aca="false">_Engine_R50!H190/12</f>
        <v>0.280710621951267</v>
      </c>
      <c r="FF8" s="46" t="n">
        <f aca="false">_Engine_R50!H191/12</f>
        <v>0.276934517539109</v>
      </c>
      <c r="FG8" s="46" t="n">
        <f aca="false">_Engine_R50!H192/12</f>
        <v>0.273209209083416</v>
      </c>
      <c r="FH8" s="46" t="n">
        <f aca="false">_Engine_R50!H193/12</f>
        <v>0.269534013279671</v>
      </c>
      <c r="FI8" s="46" t="n">
        <f aca="false">_Engine_R50!H194/12</f>
        <v>0.265908256015137</v>
      </c>
      <c r="FJ8" s="46" t="n">
        <f aca="false">_Engine_R50!H195/12</f>
        <v>0.262331272245203</v>
      </c>
      <c r="FK8" s="46" t="n">
        <f aca="false">_Engine_R50!H196/12</f>
        <v>0.258802405871404</v>
      </c>
      <c r="FL8" s="46" t="n">
        <f aca="false">_Engine_R50!H197/12</f>
        <v>0.255321009621078</v>
      </c>
      <c r="FM8" s="46" t="n">
        <f aca="false">_Engine_R50!H198/12</f>
        <v>0.251886444928638</v>
      </c>
      <c r="FN8" s="170" t="n">
        <f aca="false">_Engine_R50!H199/12</f>
        <v>0.24849808181845</v>
      </c>
      <c r="FO8" s="170" t="n">
        <f aca="false">_Engine_R50!H200/12</f>
        <v>0.245155298789277</v>
      </c>
      <c r="FP8" s="170" t="n">
        <f aca="false">_Engine_R50!H201/12</f>
        <v>0.241857482700285</v>
      </c>
      <c r="FQ8" s="170" t="n">
        <f aca="false">_Engine_R50!H202/12</f>
        <v>0.238604028658577</v>
      </c>
      <c r="FR8" s="170" t="n">
        <f aca="false">_Engine_R50!H203/12</f>
        <v>0.235394339908243</v>
      </c>
      <c r="FS8" s="170" t="n">
        <f aca="false">_Engine_R50!H204/12</f>
        <v>0.232227827720903</v>
      </c>
      <c r="FT8" s="170" t="n">
        <f aca="false">_Engine_R50!H205/12</f>
        <v>0.22910391128772</v>
      </c>
      <c r="FU8" s="170" t="n">
        <f aca="false">_Engine_R50!H206/12</f>
        <v>0.226022017612866</v>
      </c>
      <c r="FV8" s="170" t="n">
        <f aca="false">_Engine_R50!H207/12</f>
        <v>0.222981581408422</v>
      </c>
      <c r="FW8" s="170" t="n">
        <f aca="false">_Engine_R50!H208/12</f>
        <v>0.219982044990693</v>
      </c>
      <c r="FX8" s="170" t="n">
        <f aca="false">_Engine_R50!H209/12</f>
        <v>0.217022858177916</v>
      </c>
      <c r="FY8" s="170" t="n">
        <f aca="false">_Engine_R50!H210/12</f>
        <v>0.214103478189342</v>
      </c>
      <c r="FZ8" s="1"/>
    </row>
    <row r="9" customFormat="false" ht="15" hidden="false" customHeight="true" outlineLevel="0" collapsed="false">
      <c r="A9" s="17" t="s">
        <v>428</v>
      </c>
      <c r="B9" s="170" t="n">
        <f aca="false">_Engine_R50!I31/12</f>
        <v>0</v>
      </c>
      <c r="C9" s="170" t="n">
        <f aca="false">_Engine_R50!I32/12</f>
        <v>0</v>
      </c>
      <c r="D9" s="170" t="n">
        <f aca="false">_Engine_R50!I33/12</f>
        <v>0</v>
      </c>
      <c r="E9" s="170" t="n">
        <f aca="false">_Engine_R50!I34/12</f>
        <v>0</v>
      </c>
      <c r="F9" s="170" t="n">
        <f aca="false">_Engine_R50!I35/12</f>
        <v>0</v>
      </c>
      <c r="G9" s="170" t="n">
        <f aca="false">_Engine_R50!I36/12</f>
        <v>0</v>
      </c>
      <c r="H9" s="170" t="n">
        <f aca="false">_Engine_R50!I37/12</f>
        <v>0</v>
      </c>
      <c r="I9" s="170" t="n">
        <f aca="false">_Engine_R50!I38/12</f>
        <v>0</v>
      </c>
      <c r="J9" s="170" t="n">
        <f aca="false">_Engine_R50!I39/12</f>
        <v>0</v>
      </c>
      <c r="K9" s="170" t="n">
        <f aca="false">_Engine_R50!I40/12</f>
        <v>0</v>
      </c>
      <c r="L9" s="170" t="n">
        <f aca="false">_Engine_R50!I41/12</f>
        <v>0</v>
      </c>
      <c r="M9" s="170" t="n">
        <f aca="false">_Engine_R50!I42/12</f>
        <v>0</v>
      </c>
      <c r="N9" s="46" t="n">
        <f aca="false">_Engine_R50!I43/12</f>
        <v>0</v>
      </c>
      <c r="O9" s="46" t="n">
        <f aca="false">_Engine_R50!I44/12</f>
        <v>0</v>
      </c>
      <c r="P9" s="46" t="n">
        <f aca="false">_Engine_R50!I45/12</f>
        <v>0</v>
      </c>
      <c r="Q9" s="46" t="n">
        <f aca="false">_Engine_R50!I46/12</f>
        <v>2.08333333333333</v>
      </c>
      <c r="R9" s="46" t="n">
        <f aca="false">_Engine_R50!I47/12</f>
        <v>2.05530844372527</v>
      </c>
      <c r="S9" s="46" t="n">
        <f aca="false">_Engine_R50!I48/12</f>
        <v>2.02766054344723</v>
      </c>
      <c r="T9" s="46" t="n">
        <f aca="false">_Engine_R50!I49/12</f>
        <v>2.00038456125872</v>
      </c>
      <c r="U9" s="46" t="n">
        <f aca="false">_Engine_R50!I50/12</f>
        <v>1.97347549413731</v>
      </c>
      <c r="V9" s="46" t="n">
        <f aca="false">_Engine_R50!I51/12</f>
        <v>1.94692840636095</v>
      </c>
      <c r="W9" s="46" t="n">
        <f aca="false">_Engine_R50!I52/12</f>
        <v>1.92073842860269</v>
      </c>
      <c r="X9" s="46" t="n">
        <f aca="false">_Engine_R50!I53/12</f>
        <v>1.89490075703746</v>
      </c>
      <c r="Y9" s="46" t="n">
        <f aca="false">_Engine_R50!I54/12</f>
        <v>1.86941065246104</v>
      </c>
      <c r="Z9" s="170" t="n">
        <f aca="false">_Engine_R50!I55/12</f>
        <v>1.84426343942071</v>
      </c>
      <c r="AA9" s="170" t="n">
        <f aca="false">_Engine_R50!I56/12</f>
        <v>1.8194545053577</v>
      </c>
      <c r="AB9" s="170" t="n">
        <f aca="false">_Engine_R50!I57/12</f>
        <v>1.79497929976112</v>
      </c>
      <c r="AC9" s="170" t="n">
        <f aca="false">_Engine_R50!I58/12</f>
        <v>1.77083333333333</v>
      </c>
      <c r="AD9" s="170" t="n">
        <f aca="false">_Engine_R50!I59/12</f>
        <v>1.74701217716648</v>
      </c>
      <c r="AE9" s="170" t="n">
        <f aca="false">_Engine_R50!I60/12</f>
        <v>1.72351146193015</v>
      </c>
      <c r="AF9" s="170" t="n">
        <f aca="false">_Engine_R50!I61/12</f>
        <v>1.70032687706992</v>
      </c>
      <c r="AG9" s="170" t="n">
        <f aca="false">_Engine_R50!I62/12</f>
        <v>1.67745417001671</v>
      </c>
      <c r="AH9" s="170" t="n">
        <f aca="false">_Engine_R50!I63/12</f>
        <v>1.65488914540681</v>
      </c>
      <c r="AI9" s="170" t="n">
        <f aca="false">_Engine_R50!I64/12</f>
        <v>1.63262766431228</v>
      </c>
      <c r="AJ9" s="170" t="n">
        <f aca="false">_Engine_R50!I65/12</f>
        <v>1.61066564348184</v>
      </c>
      <c r="AK9" s="170" t="n">
        <f aca="false">_Engine_R50!I66/12</f>
        <v>1.58899905459189</v>
      </c>
      <c r="AL9" s="46" t="n">
        <f aca="false">_Engine_R50!I67/12</f>
        <v>1.56762392350761</v>
      </c>
      <c r="AM9" s="46" t="n">
        <f aca="false">_Engine_R50!I68/12</f>
        <v>1.54653632955404</v>
      </c>
      <c r="AN9" s="46" t="n">
        <f aca="false">_Engine_R50!I69/12</f>
        <v>1.52573240479695</v>
      </c>
      <c r="AO9" s="46" t="n">
        <f aca="false">_Engine_R50!I70/12</f>
        <v>1.50520833333333</v>
      </c>
      <c r="AP9" s="46" t="n">
        <f aca="false">_Engine_R50!I71/12</f>
        <v>1.48496035059151</v>
      </c>
      <c r="AQ9" s="46" t="n">
        <f aca="false">_Engine_R50!I72/12</f>
        <v>1.46498474264063</v>
      </c>
      <c r="AR9" s="46" t="n">
        <f aca="false">_Engine_R50!I73/12</f>
        <v>1.44527784550943</v>
      </c>
      <c r="AS9" s="46" t="n">
        <f aca="false">_Engine_R50!I74/12</f>
        <v>1.42583604451421</v>
      </c>
      <c r="AT9" s="46" t="n">
        <f aca="false">_Engine_R50!I75/12</f>
        <v>1.40665577359579</v>
      </c>
      <c r="AU9" s="46" t="n">
        <f aca="false">_Engine_R50!I76/12</f>
        <v>1.38773351466544</v>
      </c>
      <c r="AV9" s="46" t="n">
        <f aca="false">_Engine_R50!I77/12</f>
        <v>1.36906579695957</v>
      </c>
      <c r="AW9" s="46" t="n">
        <f aca="false">_Engine_R50!I78/12</f>
        <v>1.3506491964031</v>
      </c>
      <c r="AX9" s="170" t="n">
        <f aca="false">_Engine_R50!I79/12</f>
        <v>1.33248033498147</v>
      </c>
      <c r="AY9" s="170" t="n">
        <f aca="false">_Engine_R50!I80/12</f>
        <v>1.31455588012094</v>
      </c>
      <c r="AZ9" s="170" t="n">
        <f aca="false">_Engine_R50!I81/12</f>
        <v>1.29687254407741</v>
      </c>
      <c r="BA9" s="170" t="n">
        <f aca="false">_Engine_R50!I82/12</f>
        <v>1.27942708333333</v>
      </c>
      <c r="BB9" s="170" t="n">
        <f aca="false">_Engine_R50!I83/12</f>
        <v>1.26221629800278</v>
      </c>
      <c r="BC9" s="170" t="n">
        <f aca="false">_Engine_R50!I84/12</f>
        <v>1.24523703124453</v>
      </c>
      <c r="BD9" s="170" t="n">
        <f aca="false">_Engine_R50!I85/12</f>
        <v>1.22848616868301</v>
      </c>
      <c r="BE9" s="170" t="n">
        <f aca="false">_Engine_R50!I86/12</f>
        <v>1.21196063783708</v>
      </c>
      <c r="BF9" s="170" t="n">
        <f aca="false">_Engine_R50!I87/12</f>
        <v>1.19565740755642</v>
      </c>
      <c r="BG9" s="170" t="n">
        <f aca="false">_Engine_R50!I88/12</f>
        <v>1.17957348746562</v>
      </c>
      <c r="BH9" s="170" t="n">
        <f aca="false">_Engine_R50!I89/12</f>
        <v>1.16370592741563</v>
      </c>
      <c r="BI9" s="170" t="n">
        <f aca="false">_Engine_R50!I90/12</f>
        <v>1.14805181694264</v>
      </c>
      <c r="BJ9" s="46" t="n">
        <f aca="false">_Engine_R50!I91/12</f>
        <v>1.13260828473425</v>
      </c>
      <c r="BK9" s="46" t="n">
        <f aca="false">_Engine_R50!I92/12</f>
        <v>1.1173724981028</v>
      </c>
      <c r="BL9" s="46" t="n">
        <f aca="false">_Engine_R50!I93/12</f>
        <v>1.1023416624658</v>
      </c>
      <c r="BM9" s="46" t="n">
        <f aca="false">_Engine_R50!I94/12</f>
        <v>1.08751302083333</v>
      </c>
      <c r="BN9" s="46" t="n">
        <f aca="false">_Engine_R50!I95/12</f>
        <v>1.07288385330237</v>
      </c>
      <c r="BO9" s="46" t="n">
        <f aca="false">_Engine_R50!I96/12</f>
        <v>1.05845147655785</v>
      </c>
      <c r="BP9" s="46" t="n">
        <f aca="false">_Engine_R50!I97/12</f>
        <v>1.04421324338056</v>
      </c>
      <c r="BQ9" s="46" t="n">
        <f aca="false">_Engine_R50!I98/12</f>
        <v>1.03016654216152</v>
      </c>
      <c r="BR9" s="46" t="n">
        <f aca="false">_Engine_R50!I99/12</f>
        <v>1.01630879642296</v>
      </c>
      <c r="BS9" s="46" t="n">
        <f aca="false">_Engine_R50!I100/12</f>
        <v>1.00263746434578</v>
      </c>
      <c r="BT9" s="46" t="n">
        <f aca="false">_Engine_R50!I101/12</f>
        <v>0.989150038303286</v>
      </c>
      <c r="BU9" s="46" t="n">
        <f aca="false">_Engine_R50!I102/12</f>
        <v>0.975844044401242</v>
      </c>
      <c r="BV9" s="170" t="n">
        <f aca="false">_Engine_R50!I103/12</f>
        <v>0.962717042024109</v>
      </c>
      <c r="BW9" s="170" t="n">
        <f aca="false">_Engine_R50!I104/12</f>
        <v>0.949766623387378</v>
      </c>
      <c r="BX9" s="170" t="n">
        <f aca="false">_Engine_R50!I105/12</f>
        <v>0.936990413095929</v>
      </c>
      <c r="BY9" s="170" t="n">
        <f aca="false">_Engine_R50!I106/12</f>
        <v>0.924386067708333</v>
      </c>
      <c r="BZ9" s="170" t="n">
        <f aca="false">_Engine_R50!I107/12</f>
        <v>0.911951275307011</v>
      </c>
      <c r="CA9" s="170" t="n">
        <f aca="false">_Engine_R50!I108/12</f>
        <v>0.899683755074175</v>
      </c>
      <c r="CB9" s="170" t="n">
        <f aca="false">_Engine_R50!I109/12</f>
        <v>0.887581256873478</v>
      </c>
      <c r="CC9" s="170" t="n">
        <f aca="false">_Engine_R50!I110/12</f>
        <v>0.875641560837288</v>
      </c>
      <c r="CD9" s="170" t="n">
        <f aca="false">_Engine_R50!I111/12</f>
        <v>0.863862476959514</v>
      </c>
      <c r="CE9" s="170" t="n">
        <f aca="false">_Engine_R50!I112/12</f>
        <v>0.852241844693913</v>
      </c>
      <c r="CF9" s="170" t="n">
        <f aca="false">_Engine_R50!I113/12</f>
        <v>0.840777532557793</v>
      </c>
      <c r="CG9" s="170" t="n">
        <f aca="false">_Engine_R50!I114/12</f>
        <v>0.829467437741056</v>
      </c>
      <c r="CH9" s="46" t="n">
        <f aca="false">_Engine_R50!I115/12</f>
        <v>0.818309485720493</v>
      </c>
      <c r="CI9" s="46" t="n">
        <f aca="false">_Engine_R50!I116/12</f>
        <v>0.807301629879271</v>
      </c>
      <c r="CJ9" s="46" t="n">
        <f aca="false">_Engine_R50!I117/12</f>
        <v>0.796441851131539</v>
      </c>
      <c r="CK9" s="46" t="n">
        <f aca="false">_Engine_R50!I118/12</f>
        <v>0.785728157552083</v>
      </c>
      <c r="CL9" s="46" t="n">
        <f aca="false">_Engine_R50!I119/12</f>
        <v>0.775158584010959</v>
      </c>
      <c r="CM9" s="46" t="n">
        <f aca="false">_Engine_R50!I120/12</f>
        <v>0.764731191813048</v>
      </c>
      <c r="CN9" s="46" t="n">
        <f aca="false">_Engine_R50!I121/12</f>
        <v>0.754444068342456</v>
      </c>
      <c r="CO9" s="46" t="n">
        <f aca="false">_Engine_R50!I122/12</f>
        <v>0.744295326711695</v>
      </c>
      <c r="CP9" s="46" t="n">
        <f aca="false">_Engine_R50!I123/12</f>
        <v>0.734283105415587</v>
      </c>
      <c r="CQ9" s="46" t="n">
        <f aca="false">_Engine_R50!I124/12</f>
        <v>0.724405567989826</v>
      </c>
      <c r="CR9" s="46" t="n">
        <f aca="false">_Engine_R50!I125/12</f>
        <v>0.714660902674124</v>
      </c>
      <c r="CS9" s="46" t="n">
        <f aca="false">_Engine_R50!I126/12</f>
        <v>0.705047322079897</v>
      </c>
      <c r="CT9" s="170" t="n">
        <f aca="false">_Engine_R50!I127/12</f>
        <v>0.695563062862419</v>
      </c>
      <c r="CU9" s="170" t="n">
        <f aca="false">_Engine_R50!I128/12</f>
        <v>0.68620638539738</v>
      </c>
      <c r="CV9" s="170" t="n">
        <f aca="false">_Engine_R50!I129/12</f>
        <v>0.676975573461809</v>
      </c>
      <c r="CW9" s="170" t="n">
        <f aca="false">_Engine_R50!I130/12</f>
        <v>0.667868933919271</v>
      </c>
      <c r="CX9" s="170" t="n">
        <f aca="false">_Engine_R50!I131/12</f>
        <v>0.658884796409315</v>
      </c>
      <c r="CY9" s="170" t="n">
        <f aca="false">_Engine_R50!I132/12</f>
        <v>0.650021513041091</v>
      </c>
      <c r="CZ9" s="170" t="n">
        <f aca="false">_Engine_R50!I133/12</f>
        <v>0.641277458091088</v>
      </c>
      <c r="DA9" s="170" t="n">
        <f aca="false">_Engine_R50!I134/12</f>
        <v>0.63265102770494</v>
      </c>
      <c r="DB9" s="170" t="n">
        <f aca="false">_Engine_R50!I135/12</f>
        <v>0.624140639603249</v>
      </c>
      <c r="DC9" s="170" t="n">
        <f aca="false">_Engine_R50!I136/12</f>
        <v>0.615744732791352</v>
      </c>
      <c r="DD9" s="170" t="n">
        <f aca="false">_Engine_R50!I137/12</f>
        <v>0.607461767273006</v>
      </c>
      <c r="DE9" s="170" t="n">
        <f aca="false">_Engine_R50!I138/12</f>
        <v>0.599290223767913</v>
      </c>
      <c r="DF9" s="46" t="n">
        <f aca="false">_Engine_R50!I139/12</f>
        <v>0.591228603433056</v>
      </c>
      <c r="DG9" s="46" t="n">
        <f aca="false">_Engine_R50!I140/12</f>
        <v>0.583275427587773</v>
      </c>
      <c r="DH9" s="46" t="n">
        <f aca="false">_Engine_R50!I141/12</f>
        <v>0.575429237442537</v>
      </c>
      <c r="DI9" s="46" t="n">
        <f aca="false">_Engine_R50!I142/12</f>
        <v>0.56768859383138</v>
      </c>
      <c r="DJ9" s="46" t="n">
        <f aca="false">_Engine_R50!I143/12</f>
        <v>0.560052076947918</v>
      </c>
      <c r="DK9" s="46" t="n">
        <f aca="false">_Engine_R50!I144/12</f>
        <v>0.552518286084928</v>
      </c>
      <c r="DL9" s="46" t="n">
        <f aca="false">_Engine_R50!I145/12</f>
        <v>0.545085839377424</v>
      </c>
      <c r="DM9" s="46" t="n">
        <f aca="false">_Engine_R50!I146/12</f>
        <v>0.537753373549199</v>
      </c>
      <c r="DN9" s="46" t="n">
        <f aca="false">_Engine_R50!I147/12</f>
        <v>0.530519543662762</v>
      </c>
      <c r="DO9" s="46" t="n">
        <f aca="false">_Engine_R50!I148/12</f>
        <v>0.523383022872649</v>
      </c>
      <c r="DP9" s="46" t="n">
        <f aca="false">_Engine_R50!I149/12</f>
        <v>0.516342502182055</v>
      </c>
      <c r="DQ9" s="46" t="n">
        <f aca="false">_Engine_R50!I150/12</f>
        <v>0.509396690202726</v>
      </c>
      <c r="DR9" s="170" t="n">
        <f aca="false">_Engine_R50!I151/12</f>
        <v>0.502544312918097</v>
      </c>
      <c r="DS9" s="170" t="n">
        <f aca="false">_Engine_R50!I152/12</f>
        <v>0.495784113449607</v>
      </c>
      <c r="DT9" s="170" t="n">
        <f aca="false">_Engine_R50!I153/12</f>
        <v>0.489114851826157</v>
      </c>
      <c r="DU9" s="170" t="n">
        <f aca="false">_Engine_R50!I154/12</f>
        <v>0.482535304756673</v>
      </c>
      <c r="DV9" s="170" t="n">
        <f aca="false">_Engine_R50!I155/12</f>
        <v>0.47604426540573</v>
      </c>
      <c r="DW9" s="170" t="n">
        <f aca="false">_Engine_R50!I156/12</f>
        <v>0.469640543172188</v>
      </c>
      <c r="DX9" s="170" t="n">
        <f aca="false">_Engine_R50!I157/12</f>
        <v>0.463322963470811</v>
      </c>
      <c r="DY9" s="170" t="n">
        <f aca="false">_Engine_R50!I158/12</f>
        <v>0.457090367516819</v>
      </c>
      <c r="DZ9" s="170" t="n">
        <f aca="false">_Engine_R50!I159/12</f>
        <v>0.450941612113347</v>
      </c>
      <c r="EA9" s="170" t="n">
        <f aca="false">_Engine_R50!I160/12</f>
        <v>0.444875569441752</v>
      </c>
      <c r="EB9" s="170" t="n">
        <f aca="false">_Engine_R50!I161/12</f>
        <v>0.438891126854746</v>
      </c>
      <c r="EC9" s="170" t="n">
        <f aca="false">_Engine_R50!I162/12</f>
        <v>0.432987186672317</v>
      </c>
      <c r="ED9" s="46" t="n">
        <f aca="false">_Engine_R50!I163/12</f>
        <v>0.427162665980383</v>
      </c>
      <c r="EE9" s="46" t="n">
        <f aca="false">_Engine_R50!I164/12</f>
        <v>0.421416496432166</v>
      </c>
      <c r="EF9" s="46" t="n">
        <f aca="false">_Engine_R50!I165/12</f>
        <v>0.415747624052233</v>
      </c>
      <c r="EG9" s="46" t="n">
        <f aca="false">_Engine_R50!I166/12</f>
        <v>0.410155009043172</v>
      </c>
      <c r="EH9" s="46" t="n">
        <f aca="false">_Engine_R50!I167/12</f>
        <v>0.404637625594871</v>
      </c>
      <c r="EI9" s="46" t="n">
        <f aca="false">_Engine_R50!I168/12</f>
        <v>0.39919446169636</v>
      </c>
      <c r="EJ9" s="46" t="n">
        <f aca="false">_Engine_R50!I169/12</f>
        <v>0.393824518950189</v>
      </c>
      <c r="EK9" s="46" t="n">
        <f aca="false">_Engine_R50!I170/12</f>
        <v>0.388526812389296</v>
      </c>
      <c r="EL9" s="46" t="n">
        <f aca="false">_Engine_R50!I171/12</f>
        <v>0.383300370296345</v>
      </c>
      <c r="EM9" s="46" t="n">
        <f aca="false">_Engine_R50!I172/12</f>
        <v>0.378144234025489</v>
      </c>
      <c r="EN9" s="46" t="n">
        <f aca="false">_Engine_R50!I173/12</f>
        <v>0.373057457826534</v>
      </c>
      <c r="EO9" s="46" t="n">
        <f aca="false">_Engine_R50!I174/12</f>
        <v>0.368039108671469</v>
      </c>
      <c r="EP9" s="170" t="n">
        <f aca="false">_Engine_R50!I175/12</f>
        <v>0.363088266083325</v>
      </c>
      <c r="EQ9" s="170" t="n">
        <f aca="false">_Engine_R50!I176/12</f>
        <v>0.358204021967341</v>
      </c>
      <c r="ER9" s="170" t="n">
        <f aca="false">_Engine_R50!I177/12</f>
        <v>0.353385480444398</v>
      </c>
      <c r="ES9" s="170" t="n">
        <f aca="false">_Engine_R50!I178/12</f>
        <v>0.348631757686696</v>
      </c>
      <c r="ET9" s="170" t="n">
        <f aca="false">_Engine_R50!I179/12</f>
        <v>0.34394198175564</v>
      </c>
      <c r="EU9" s="170" t="n">
        <f aca="false">_Engine_R50!I180/12</f>
        <v>0.339315292441906</v>
      </c>
      <c r="EV9" s="170" t="n">
        <f aca="false">_Engine_R50!I181/12</f>
        <v>0.334750841107661</v>
      </c>
      <c r="EW9" s="170" t="n">
        <f aca="false">_Engine_R50!I182/12</f>
        <v>0.330247790530902</v>
      </c>
      <c r="EX9" s="170" t="n">
        <f aca="false">_Engine_R50!I183/12</f>
        <v>0.325805314751894</v>
      </c>
      <c r="EY9" s="170" t="n">
        <f aca="false">_Engine_R50!I184/12</f>
        <v>0.321422598921666</v>
      </c>
      <c r="EZ9" s="170" t="n">
        <f aca="false">_Engine_R50!I185/12</f>
        <v>0.317098839152554</v>
      </c>
      <c r="FA9" s="170" t="n">
        <f aca="false">_Engine_R50!I186/12</f>
        <v>0.312833242370749</v>
      </c>
      <c r="FB9" s="46" t="n">
        <f aca="false">_Engine_R50!I187/12</f>
        <v>0.308625026170827</v>
      </c>
      <c r="FC9" s="46" t="n">
        <f aca="false">_Engine_R50!I188/12</f>
        <v>0.30447341867224</v>
      </c>
      <c r="FD9" s="46" t="n">
        <f aca="false">_Engine_R50!I189/12</f>
        <v>0.300377658377738</v>
      </c>
      <c r="FE9" s="46" t="n">
        <f aca="false">_Engine_R50!I190/12</f>
        <v>0.296336994033692</v>
      </c>
      <c r="FF9" s="46" t="n">
        <f aca="false">_Engine_R50!I191/12</f>
        <v>0.292350684492294</v>
      </c>
      <c r="FG9" s="46" t="n">
        <f aca="false">_Engine_R50!I192/12</f>
        <v>0.28841799857562</v>
      </c>
      <c r="FH9" s="46" t="n">
        <f aca="false">_Engine_R50!I193/12</f>
        <v>0.284538214941512</v>
      </c>
      <c r="FI9" s="46" t="n">
        <f aca="false">_Engine_R50!I194/12</f>
        <v>0.280710621951267</v>
      </c>
      <c r="FJ9" s="46" t="n">
        <f aca="false">_Engine_R50!I195/12</f>
        <v>0.276934517539109</v>
      </c>
      <c r="FK9" s="46" t="n">
        <f aca="false">_Engine_R50!I196/12</f>
        <v>0.273209209083416</v>
      </c>
      <c r="FL9" s="46" t="n">
        <f aca="false">_Engine_R50!I197/12</f>
        <v>0.269534013279671</v>
      </c>
      <c r="FM9" s="46" t="n">
        <f aca="false">_Engine_R50!I198/12</f>
        <v>0.265908256015137</v>
      </c>
      <c r="FN9" s="170" t="n">
        <f aca="false">_Engine_R50!I199/12</f>
        <v>0.262331272245203</v>
      </c>
      <c r="FO9" s="170" t="n">
        <f aca="false">_Engine_R50!I200/12</f>
        <v>0.258802405871404</v>
      </c>
      <c r="FP9" s="170" t="n">
        <f aca="false">_Engine_R50!I201/12</f>
        <v>0.255321009621078</v>
      </c>
      <c r="FQ9" s="170" t="n">
        <f aca="false">_Engine_R50!I202/12</f>
        <v>0.251886444928638</v>
      </c>
      <c r="FR9" s="170" t="n">
        <f aca="false">_Engine_R50!I203/12</f>
        <v>0.24849808181845</v>
      </c>
      <c r="FS9" s="170" t="n">
        <f aca="false">_Engine_R50!I204/12</f>
        <v>0.245155298789277</v>
      </c>
      <c r="FT9" s="170" t="n">
        <f aca="false">_Engine_R50!I205/12</f>
        <v>0.241857482700285</v>
      </c>
      <c r="FU9" s="170" t="n">
        <f aca="false">_Engine_R50!I206/12</f>
        <v>0.238604028658577</v>
      </c>
      <c r="FV9" s="170" t="n">
        <f aca="false">_Engine_R50!I207/12</f>
        <v>0.235394339908243</v>
      </c>
      <c r="FW9" s="170" t="n">
        <f aca="false">_Engine_R50!I208/12</f>
        <v>0.232227827720903</v>
      </c>
      <c r="FX9" s="170" t="n">
        <f aca="false">_Engine_R50!I209/12</f>
        <v>0.22910391128772</v>
      </c>
      <c r="FY9" s="170" t="n">
        <f aca="false">_Engine_R50!I210/12</f>
        <v>0.226022017612866</v>
      </c>
      <c r="FZ9" s="1"/>
    </row>
    <row r="10" customFormat="false" ht="15" hidden="false" customHeight="true" outlineLevel="0" collapsed="false">
      <c r="A10" s="17" t="s">
        <v>429</v>
      </c>
      <c r="B10" s="170" t="n">
        <f aca="false">_Engine_R50!J31/12</f>
        <v>0</v>
      </c>
      <c r="C10" s="170" t="n">
        <f aca="false">_Engine_R50!J32/12</f>
        <v>0</v>
      </c>
      <c r="D10" s="170" t="n">
        <f aca="false">_Engine_R50!J33/12</f>
        <v>0</v>
      </c>
      <c r="E10" s="170" t="n">
        <f aca="false">_Engine_R50!J34/12</f>
        <v>0</v>
      </c>
      <c r="F10" s="170" t="n">
        <f aca="false">_Engine_R50!J35/12</f>
        <v>0</v>
      </c>
      <c r="G10" s="170" t="n">
        <f aca="false">_Engine_R50!J36/12</f>
        <v>0</v>
      </c>
      <c r="H10" s="170" t="n">
        <f aca="false">_Engine_R50!J37/12</f>
        <v>0</v>
      </c>
      <c r="I10" s="170" t="n">
        <f aca="false">_Engine_R50!J38/12</f>
        <v>0</v>
      </c>
      <c r="J10" s="170" t="n">
        <f aca="false">_Engine_R50!J39/12</f>
        <v>0</v>
      </c>
      <c r="K10" s="170" t="n">
        <f aca="false">_Engine_R50!J40/12</f>
        <v>0</v>
      </c>
      <c r="L10" s="170" t="n">
        <f aca="false">_Engine_R50!J41/12</f>
        <v>0</v>
      </c>
      <c r="M10" s="170" t="n">
        <f aca="false">_Engine_R50!J42/12</f>
        <v>0</v>
      </c>
      <c r="N10" s="46" t="n">
        <f aca="false">_Engine_R50!J43/12</f>
        <v>0</v>
      </c>
      <c r="O10" s="46" t="n">
        <f aca="false">_Engine_R50!J44/12</f>
        <v>0</v>
      </c>
      <c r="P10" s="46" t="n">
        <f aca="false">_Engine_R50!J45/12</f>
        <v>0</v>
      </c>
      <c r="Q10" s="46" t="n">
        <f aca="false">_Engine_R50!J46/12</f>
        <v>0</v>
      </c>
      <c r="R10" s="46" t="n">
        <f aca="false">_Engine_R50!J47/12</f>
        <v>0</v>
      </c>
      <c r="S10" s="46" t="n">
        <f aca="false">_Engine_R50!J48/12</f>
        <v>0</v>
      </c>
      <c r="T10" s="46" t="n">
        <f aca="false">_Engine_R50!J49/12</f>
        <v>0</v>
      </c>
      <c r="U10" s="46" t="n">
        <f aca="false">_Engine_R50!J50/12</f>
        <v>0</v>
      </c>
      <c r="V10" s="46" t="n">
        <f aca="false">_Engine_R50!J51/12</f>
        <v>0</v>
      </c>
      <c r="W10" s="46" t="n">
        <f aca="false">_Engine_R50!J52/12</f>
        <v>0</v>
      </c>
      <c r="X10" s="46" t="n">
        <f aca="false">_Engine_R50!J53/12</f>
        <v>0</v>
      </c>
      <c r="Y10" s="46" t="n">
        <f aca="false">_Engine_R50!J54/12</f>
        <v>0</v>
      </c>
      <c r="Z10" s="170" t="n">
        <f aca="false">_Engine_R50!J55/12</f>
        <v>0</v>
      </c>
      <c r="AA10" s="170" t="n">
        <f aca="false">_Engine_R50!J56/12</f>
        <v>0</v>
      </c>
      <c r="AB10" s="170" t="n">
        <f aca="false">_Engine_R50!J57/12</f>
        <v>0</v>
      </c>
      <c r="AC10" s="170" t="n">
        <f aca="false">_Engine_R50!J58/12</f>
        <v>0</v>
      </c>
      <c r="AD10" s="170" t="n">
        <f aca="false">_Engine_R50!J59/12</f>
        <v>0</v>
      </c>
      <c r="AE10" s="170" t="n">
        <f aca="false">_Engine_R50!J60/12</f>
        <v>0</v>
      </c>
      <c r="AF10" s="170" t="n">
        <f aca="false">_Engine_R50!J61/12</f>
        <v>0</v>
      </c>
      <c r="AG10" s="170" t="n">
        <f aca="false">_Engine_R50!J62/12</f>
        <v>1.5</v>
      </c>
      <c r="AH10" s="170" t="n">
        <f aca="false">_Engine_R50!J63/12</f>
        <v>1.49360202183366</v>
      </c>
      <c r="AI10" s="170" t="n">
        <f aca="false">_Engine_R50!J64/12</f>
        <v>1.48723133308373</v>
      </c>
      <c r="AJ10" s="170" t="n">
        <f aca="false">_Engine_R50!J65/12</f>
        <v>1.48088781735215</v>
      </c>
      <c r="AK10" s="170" t="n">
        <f aca="false">_Engine_R50!J66/12</f>
        <v>1.47457135873734</v>
      </c>
      <c r="AL10" s="46" t="n">
        <f aca="false">_Engine_R50!J67/12</f>
        <v>1.46828184183206</v>
      </c>
      <c r="AM10" s="46" t="n">
        <f aca="false">_Engine_R50!J68/12</f>
        <v>1.46201915172134</v>
      </c>
      <c r="AN10" s="46" t="n">
        <f aca="false">_Engine_R50!J69/12</f>
        <v>1.45578317398035</v>
      </c>
      <c r="AO10" s="46" t="n">
        <f aca="false">_Engine_R50!J70/12</f>
        <v>1.44957379467232</v>
      </c>
      <c r="AP10" s="46" t="n">
        <f aca="false">_Engine_R50!J71/12</f>
        <v>1.44339090034644</v>
      </c>
      <c r="AQ10" s="46" t="n">
        <f aca="false">_Engine_R50!J72/12</f>
        <v>1.43723437803584</v>
      </c>
      <c r="AR10" s="46" t="n">
        <f aca="false">_Engine_R50!J73/12</f>
        <v>1.43110411525544</v>
      </c>
      <c r="AS10" s="46" t="n">
        <f aca="false">_Engine_R50!J74/12</f>
        <v>1.425</v>
      </c>
      <c r="AT10" s="46" t="n">
        <f aca="false">_Engine_R50!J75/12</f>
        <v>1.41892192074198</v>
      </c>
      <c r="AU10" s="46" t="n">
        <f aca="false">_Engine_R50!J76/12</f>
        <v>1.41286976642954</v>
      </c>
      <c r="AV10" s="46" t="n">
        <f aca="false">_Engine_R50!J77/12</f>
        <v>1.40684342648454</v>
      </c>
      <c r="AW10" s="46" t="n">
        <f aca="false">_Engine_R50!J78/12</f>
        <v>1.40084279080047</v>
      </c>
      <c r="AX10" s="170" t="n">
        <f aca="false">_Engine_R50!J79/12</f>
        <v>1.39486774974046</v>
      </c>
      <c r="AY10" s="170" t="n">
        <f aca="false">_Engine_R50!J80/12</f>
        <v>1.38891819413528</v>
      </c>
      <c r="AZ10" s="170" t="n">
        <f aca="false">_Engine_R50!J81/12</f>
        <v>1.38299401528134</v>
      </c>
      <c r="BA10" s="170" t="n">
        <f aca="false">_Engine_R50!J82/12</f>
        <v>1.3770951049387</v>
      </c>
      <c r="BB10" s="170" t="n">
        <f aca="false">_Engine_R50!J83/12</f>
        <v>1.37122135532912</v>
      </c>
      <c r="BC10" s="170" t="n">
        <f aca="false">_Engine_R50!J84/12</f>
        <v>1.36537265913404</v>
      </c>
      <c r="BD10" s="170" t="n">
        <f aca="false">_Engine_R50!J85/12</f>
        <v>1.35954890949267</v>
      </c>
      <c r="BE10" s="170" t="n">
        <f aca="false">_Engine_R50!J86/12</f>
        <v>1.35375</v>
      </c>
      <c r="BF10" s="170" t="n">
        <f aca="false">_Engine_R50!J87/12</f>
        <v>1.34797582470488</v>
      </c>
      <c r="BG10" s="170" t="n">
        <f aca="false">_Engine_R50!J88/12</f>
        <v>1.34222627810807</v>
      </c>
      <c r="BH10" s="170" t="n">
        <f aca="false">_Engine_R50!J89/12</f>
        <v>1.33650125516032</v>
      </c>
      <c r="BI10" s="170" t="n">
        <f aca="false">_Engine_R50!J90/12</f>
        <v>1.33080065126045</v>
      </c>
      <c r="BJ10" s="46" t="n">
        <f aca="false">_Engine_R50!J91/12</f>
        <v>1.32512436225344</v>
      </c>
      <c r="BK10" s="46" t="n">
        <f aca="false">_Engine_R50!J92/12</f>
        <v>1.31947228442851</v>
      </c>
      <c r="BL10" s="46" t="n">
        <f aca="false">_Engine_R50!J93/12</f>
        <v>1.31384431451727</v>
      </c>
      <c r="BM10" s="46" t="n">
        <f aca="false">_Engine_R50!J94/12</f>
        <v>1.30824034969177</v>
      </c>
      <c r="BN10" s="46" t="n">
        <f aca="false">_Engine_R50!J95/12</f>
        <v>1.30266028756267</v>
      </c>
      <c r="BO10" s="46" t="n">
        <f aca="false">_Engine_R50!J96/12</f>
        <v>1.29710402617734</v>
      </c>
      <c r="BP10" s="46" t="n">
        <f aca="false">_Engine_R50!J97/12</f>
        <v>1.29157146401804</v>
      </c>
      <c r="BQ10" s="46" t="n">
        <f aca="false">_Engine_R50!J98/12</f>
        <v>1.2860625</v>
      </c>
      <c r="BR10" s="46" t="n">
        <f aca="false">_Engine_R50!J99/12</f>
        <v>1.28057703346963</v>
      </c>
      <c r="BS10" s="46" t="n">
        <f aca="false">_Engine_R50!J100/12</f>
        <v>1.27511496420266</v>
      </c>
      <c r="BT10" s="46" t="n">
        <f aca="false">_Engine_R50!J101/12</f>
        <v>1.2696761924023</v>
      </c>
      <c r="BU10" s="46" t="n">
        <f aca="false">_Engine_R50!J102/12</f>
        <v>1.26426061869742</v>
      </c>
      <c r="BV10" s="170" t="n">
        <f aca="false">_Engine_R50!J103/12</f>
        <v>1.25886814414076</v>
      </c>
      <c r="BW10" s="170" t="n">
        <f aca="false">_Engine_R50!J104/12</f>
        <v>1.25349867020709</v>
      </c>
      <c r="BX10" s="170" t="n">
        <f aca="false">_Engine_R50!J105/12</f>
        <v>1.24815209879141</v>
      </c>
      <c r="BY10" s="170" t="n">
        <f aca="false">_Engine_R50!J106/12</f>
        <v>1.24282833220718</v>
      </c>
      <c r="BZ10" s="170" t="n">
        <f aca="false">_Engine_R50!J107/12</f>
        <v>1.23752727318453</v>
      </c>
      <c r="CA10" s="170" t="n">
        <f aca="false">_Engine_R50!J108/12</f>
        <v>1.23224882486847</v>
      </c>
      <c r="CB10" s="170" t="n">
        <f aca="false">_Engine_R50!J109/12</f>
        <v>1.22699289081714</v>
      </c>
      <c r="CC10" s="170" t="n">
        <f aca="false">_Engine_R50!J110/12</f>
        <v>1.221759375</v>
      </c>
      <c r="CD10" s="170" t="n">
        <f aca="false">_Engine_R50!J111/12</f>
        <v>1.21654818179615</v>
      </c>
      <c r="CE10" s="170" t="n">
        <f aca="false">_Engine_R50!J112/12</f>
        <v>1.21135921599253</v>
      </c>
      <c r="CF10" s="170" t="n">
        <f aca="false">_Engine_R50!J113/12</f>
        <v>1.20619238278219</v>
      </c>
      <c r="CG10" s="170" t="n">
        <f aca="false">_Engine_R50!J114/12</f>
        <v>1.20104758776255</v>
      </c>
      <c r="CH10" s="46" t="n">
        <f aca="false">_Engine_R50!J115/12</f>
        <v>1.19592473693373</v>
      </c>
      <c r="CI10" s="46" t="n">
        <f aca="false">_Engine_R50!J116/12</f>
        <v>1.19082373669673</v>
      </c>
      <c r="CJ10" s="46" t="n">
        <f aca="false">_Engine_R50!J117/12</f>
        <v>1.18574449385184</v>
      </c>
      <c r="CK10" s="46" t="n">
        <f aca="false">_Engine_R50!J118/12</f>
        <v>1.18068691559682</v>
      </c>
      <c r="CL10" s="46" t="n">
        <f aca="false">_Engine_R50!J119/12</f>
        <v>1.17565090952531</v>
      </c>
      <c r="CM10" s="46" t="n">
        <f aca="false">_Engine_R50!J120/12</f>
        <v>1.17063638362505</v>
      </c>
      <c r="CN10" s="46" t="n">
        <f aca="false">_Engine_R50!J121/12</f>
        <v>1.16564324627628</v>
      </c>
      <c r="CO10" s="46" t="n">
        <f aca="false">_Engine_R50!J122/12</f>
        <v>1.16067140625</v>
      </c>
      <c r="CP10" s="46" t="n">
        <f aca="false">_Engine_R50!J123/12</f>
        <v>1.15572077270634</v>
      </c>
      <c r="CQ10" s="46" t="n">
        <f aca="false">_Engine_R50!J124/12</f>
        <v>1.1507912551929</v>
      </c>
      <c r="CR10" s="46" t="n">
        <f aca="false">_Engine_R50!J125/12</f>
        <v>1.14588276364308</v>
      </c>
      <c r="CS10" s="46" t="n">
        <f aca="false">_Engine_R50!J126/12</f>
        <v>1.14099520837443</v>
      </c>
      <c r="CT10" s="170" t="n">
        <f aca="false">_Engine_R50!J127/12</f>
        <v>1.13612850008704</v>
      </c>
      <c r="CU10" s="170" t="n">
        <f aca="false">_Engine_R50!J128/12</f>
        <v>1.1312825498619</v>
      </c>
      <c r="CV10" s="170" t="n">
        <f aca="false">_Engine_R50!J129/12</f>
        <v>1.12645726915924</v>
      </c>
      <c r="CW10" s="170" t="n">
        <f aca="false">_Engine_R50!J130/12</f>
        <v>1.12165256981698</v>
      </c>
      <c r="CX10" s="170" t="n">
        <f aca="false">_Engine_R50!J131/12</f>
        <v>1.11686836404904</v>
      </c>
      <c r="CY10" s="170" t="n">
        <f aca="false">_Engine_R50!J132/12</f>
        <v>1.1121045644438</v>
      </c>
      <c r="CZ10" s="170" t="n">
        <f aca="false">_Engine_R50!J133/12</f>
        <v>1.10736108396246</v>
      </c>
      <c r="DA10" s="170" t="n">
        <f aca="false">_Engine_R50!J134/12</f>
        <v>1.1026378359375</v>
      </c>
      <c r="DB10" s="170" t="n">
        <f aca="false">_Engine_R50!J135/12</f>
        <v>1.09793473407103</v>
      </c>
      <c r="DC10" s="170" t="n">
        <f aca="false">_Engine_R50!J136/12</f>
        <v>1.09325169243326</v>
      </c>
      <c r="DD10" s="170" t="n">
        <f aca="false">_Engine_R50!J137/12</f>
        <v>1.08858862546092</v>
      </c>
      <c r="DE10" s="170" t="n">
        <f aca="false">_Engine_R50!J138/12</f>
        <v>1.0839454479557</v>
      </c>
      <c r="DF10" s="46" t="n">
        <f aca="false">_Engine_R50!J139/12</f>
        <v>1.07932207508269</v>
      </c>
      <c r="DG10" s="46" t="n">
        <f aca="false">_Engine_R50!J140/12</f>
        <v>1.0747184223688</v>
      </c>
      <c r="DH10" s="46" t="n">
        <f aca="false">_Engine_R50!J141/12</f>
        <v>1.07013440570128</v>
      </c>
      <c r="DI10" s="46" t="n">
        <f aca="false">_Engine_R50!J142/12</f>
        <v>1.06556994132613</v>
      </c>
      <c r="DJ10" s="46" t="n">
        <f aca="false">_Engine_R50!J143/12</f>
        <v>1.06102494584659</v>
      </c>
      <c r="DK10" s="46" t="n">
        <f aca="false">_Engine_R50!J144/12</f>
        <v>1.05649933622161</v>
      </c>
      <c r="DL10" s="46" t="n">
        <f aca="false">_Engine_R50!J145/12</f>
        <v>1.05199302976434</v>
      </c>
      <c r="DM10" s="46" t="n">
        <f aca="false">_Engine_R50!J146/12</f>
        <v>1.04750594414062</v>
      </c>
      <c r="DN10" s="46" t="n">
        <f aca="false">_Engine_R50!J147/12</f>
        <v>1.04303799736748</v>
      </c>
      <c r="DO10" s="46" t="n">
        <f aca="false">_Engine_R50!J148/12</f>
        <v>1.03858910781159</v>
      </c>
      <c r="DP10" s="46" t="n">
        <f aca="false">_Engine_R50!J149/12</f>
        <v>1.03415919418788</v>
      </c>
      <c r="DQ10" s="46" t="n">
        <f aca="false">_Engine_R50!J150/12</f>
        <v>1.02974817555792</v>
      </c>
      <c r="DR10" s="170" t="n">
        <f aca="false">_Engine_R50!J151/12</f>
        <v>1.02535597132855</v>
      </c>
      <c r="DS10" s="170" t="n">
        <f aca="false">_Engine_R50!J152/12</f>
        <v>1.02098250125036</v>
      </c>
      <c r="DT10" s="170" t="n">
        <f aca="false">_Engine_R50!J153/12</f>
        <v>1.01662768541622</v>
      </c>
      <c r="DU10" s="170" t="n">
        <f aca="false">_Engine_R50!J154/12</f>
        <v>1.01229144425982</v>
      </c>
      <c r="DV10" s="170" t="n">
        <f aca="false">_Engine_R50!J155/12</f>
        <v>1.00797369855426</v>
      </c>
      <c r="DW10" s="170" t="n">
        <f aca="false">_Engine_R50!J156/12</f>
        <v>1.00367436941053</v>
      </c>
      <c r="DX10" s="170" t="n">
        <f aca="false">_Engine_R50!J157/12</f>
        <v>0.999393378276124</v>
      </c>
      <c r="DY10" s="170" t="n">
        <f aca="false">_Engine_R50!J158/12</f>
        <v>0.995130646933593</v>
      </c>
      <c r="DZ10" s="170" t="n">
        <f aca="false">_Engine_R50!J159/12</f>
        <v>0.990886097499101</v>
      </c>
      <c r="EA10" s="170" t="n">
        <f aca="false">_Engine_R50!J160/12</f>
        <v>0.986659652421015</v>
      </c>
      <c r="EB10" s="170" t="n">
        <f aca="false">_Engine_R50!J161/12</f>
        <v>0.982451234478482</v>
      </c>
      <c r="EC10" s="170" t="n">
        <f aca="false">_Engine_R50!J162/12</f>
        <v>0.978260766780023</v>
      </c>
      <c r="ED10" s="46" t="n">
        <f aca="false">_Engine_R50!J163/12</f>
        <v>0.974088172762125</v>
      </c>
      <c r="EE10" s="46" t="n">
        <f aca="false">_Engine_R50!J164/12</f>
        <v>0.969933376187843</v>
      </c>
      <c r="EF10" s="46" t="n">
        <f aca="false">_Engine_R50!J165/12</f>
        <v>0.965796301145407</v>
      </c>
      <c r="EG10" s="46" t="n">
        <f aca="false">_Engine_R50!J166/12</f>
        <v>0.961676872046832</v>
      </c>
      <c r="EH10" s="46" t="n">
        <f aca="false">_Engine_R50!J167/12</f>
        <v>0.957575013626545</v>
      </c>
      <c r="EI10" s="46" t="n">
        <f aca="false">_Engine_R50!J168/12</f>
        <v>0.953490650940001</v>
      </c>
      <c r="EJ10" s="46" t="n">
        <f aca="false">_Engine_R50!J169/12</f>
        <v>0.949423709362318</v>
      </c>
      <c r="EK10" s="46" t="n">
        <f aca="false">_Engine_R50!J170/12</f>
        <v>0.945374114586914</v>
      </c>
      <c r="EL10" s="46" t="n">
        <f aca="false">_Engine_R50!J171/12</f>
        <v>0.941341792624146</v>
      </c>
      <c r="EM10" s="46" t="n">
        <f aca="false">_Engine_R50!J172/12</f>
        <v>0.937326669799964</v>
      </c>
      <c r="EN10" s="46" t="n">
        <f aca="false">_Engine_R50!J173/12</f>
        <v>0.933328672754558</v>
      </c>
      <c r="EO10" s="46" t="n">
        <f aca="false">_Engine_R50!J174/12</f>
        <v>0.929347728441022</v>
      </c>
      <c r="EP10" s="170" t="n">
        <f aca="false">_Engine_R50!J175/12</f>
        <v>0.925383764124019</v>
      </c>
      <c r="EQ10" s="170" t="n">
        <f aca="false">_Engine_R50!J176/12</f>
        <v>0.921436707378451</v>
      </c>
      <c r="ER10" s="170" t="n">
        <f aca="false">_Engine_R50!J177/12</f>
        <v>0.917506486088136</v>
      </c>
      <c r="ES10" s="170" t="n">
        <f aca="false">_Engine_R50!J178/12</f>
        <v>0.913593028444491</v>
      </c>
      <c r="ET10" s="170" t="n">
        <f aca="false">_Engine_R50!J179/12</f>
        <v>0.909696262945218</v>
      </c>
      <c r="EU10" s="170" t="n">
        <f aca="false">_Engine_R50!J180/12</f>
        <v>0.905816118393001</v>
      </c>
      <c r="EV10" s="170" t="n">
        <f aca="false">_Engine_R50!J181/12</f>
        <v>0.901952523894202</v>
      </c>
      <c r="EW10" s="170" t="n">
        <f aca="false">_Engine_R50!J182/12</f>
        <v>0.898105408857568</v>
      </c>
      <c r="EX10" s="170" t="n">
        <f aca="false">_Engine_R50!J183/12</f>
        <v>0.894274702992939</v>
      </c>
      <c r="EY10" s="170" t="n">
        <f aca="false">_Engine_R50!J184/12</f>
        <v>0.890460336309966</v>
      </c>
      <c r="EZ10" s="170" t="n">
        <f aca="false">_Engine_R50!J185/12</f>
        <v>0.88666223911683</v>
      </c>
      <c r="FA10" s="170" t="n">
        <f aca="false">_Engine_R50!J186/12</f>
        <v>0.882880342018971</v>
      </c>
      <c r="FB10" s="46" t="n">
        <f aca="false">_Engine_R50!J187/12</f>
        <v>0.879114575917818</v>
      </c>
      <c r="FC10" s="46" t="n">
        <f aca="false">_Engine_R50!J188/12</f>
        <v>0.875364872009529</v>
      </c>
      <c r="FD10" s="46" t="n">
        <f aca="false">_Engine_R50!J189/12</f>
        <v>0.871631161783729</v>
      </c>
      <c r="FE10" s="46" t="n">
        <f aca="false">_Engine_R50!J190/12</f>
        <v>0.867913377022266</v>
      </c>
      <c r="FF10" s="46" t="n">
        <f aca="false">_Engine_R50!J191/12</f>
        <v>0.864211449797957</v>
      </c>
      <c r="FG10" s="46" t="n">
        <f aca="false">_Engine_R50!J192/12</f>
        <v>0.860525312473351</v>
      </c>
      <c r="FH10" s="46" t="n">
        <f aca="false">_Engine_R50!J193/12</f>
        <v>0.856854897699492</v>
      </c>
      <c r="FI10" s="46" t="n">
        <f aca="false">_Engine_R50!J194/12</f>
        <v>0.85320013841469</v>
      </c>
      <c r="FJ10" s="46" t="n">
        <f aca="false">_Engine_R50!J195/12</f>
        <v>0.849560967843292</v>
      </c>
      <c r="FK10" s="46" t="n">
        <f aca="false">_Engine_R50!J196/12</f>
        <v>0.845937319494467</v>
      </c>
      <c r="FL10" s="46" t="n">
        <f aca="false">_Engine_R50!J197/12</f>
        <v>0.842329127160988</v>
      </c>
      <c r="FM10" s="46" t="n">
        <f aca="false">_Engine_R50!J198/12</f>
        <v>0.838736324918022</v>
      </c>
      <c r="FN10" s="170" t="n">
        <f aca="false">_Engine_R50!J199/12</f>
        <v>0.835158847121927</v>
      </c>
      <c r="FO10" s="170" t="n">
        <f aca="false">_Engine_R50!J200/12</f>
        <v>0.831596628409052</v>
      </c>
      <c r="FP10" s="170" t="n">
        <f aca="false">_Engine_R50!J201/12</f>
        <v>0.828049603694543</v>
      </c>
      <c r="FQ10" s="170" t="n">
        <f aca="false">_Engine_R50!J202/12</f>
        <v>0.824517708171153</v>
      </c>
      <c r="FR10" s="170" t="n">
        <f aca="false">_Engine_R50!J203/12</f>
        <v>0.821000877308059</v>
      </c>
      <c r="FS10" s="170" t="n">
        <f aca="false">_Engine_R50!J204/12</f>
        <v>0.817499046849683</v>
      </c>
      <c r="FT10" s="170" t="n">
        <f aca="false">_Engine_R50!J205/12</f>
        <v>0.814012152814517</v>
      </c>
      <c r="FU10" s="170" t="n">
        <f aca="false">_Engine_R50!J206/12</f>
        <v>0.810540131493955</v>
      </c>
      <c r="FV10" s="170" t="n">
        <f aca="false">_Engine_R50!J207/12</f>
        <v>0.807082919451127</v>
      </c>
      <c r="FW10" s="170" t="n">
        <f aca="false">_Engine_R50!J208/12</f>
        <v>0.803640453519744</v>
      </c>
      <c r="FX10" s="170" t="n">
        <f aca="false">_Engine_R50!J209/12</f>
        <v>0.800212670802939</v>
      </c>
      <c r="FY10" s="170" t="n">
        <f aca="false">_Engine_R50!J210/12</f>
        <v>0.796799508672121</v>
      </c>
      <c r="FZ10" s="1"/>
    </row>
    <row r="11" customFormat="false" ht="15" hidden="false" customHeight="true" outlineLevel="0" collapsed="false">
      <c r="A11" s="17" t="s">
        <v>430</v>
      </c>
      <c r="B11" s="170" t="n">
        <f aca="false">_Engine_R50!K31/12</f>
        <v>0</v>
      </c>
      <c r="C11" s="170" t="n">
        <f aca="false">_Engine_R50!K32/12</f>
        <v>0</v>
      </c>
      <c r="D11" s="170" t="n">
        <f aca="false">_Engine_R50!K33/12</f>
        <v>0</v>
      </c>
      <c r="E11" s="170" t="n">
        <f aca="false">_Engine_R50!K34/12</f>
        <v>0</v>
      </c>
      <c r="F11" s="170" t="n">
        <f aca="false">_Engine_R50!K35/12</f>
        <v>0</v>
      </c>
      <c r="G11" s="170" t="n">
        <f aca="false">_Engine_R50!K36/12</f>
        <v>0</v>
      </c>
      <c r="H11" s="170" t="n">
        <f aca="false">_Engine_R50!K37/12</f>
        <v>0</v>
      </c>
      <c r="I11" s="170" t="n">
        <f aca="false">_Engine_R50!K38/12</f>
        <v>0</v>
      </c>
      <c r="J11" s="170" t="n">
        <f aca="false">_Engine_R50!K39/12</f>
        <v>0</v>
      </c>
      <c r="K11" s="170" t="n">
        <f aca="false">_Engine_R50!K40/12</f>
        <v>0</v>
      </c>
      <c r="L11" s="170" t="n">
        <f aca="false">_Engine_R50!K41/12</f>
        <v>0</v>
      </c>
      <c r="M11" s="170" t="n">
        <f aca="false">_Engine_R50!K42/12</f>
        <v>0</v>
      </c>
      <c r="N11" s="46" t="n">
        <f aca="false">_Engine_R50!K43/12</f>
        <v>0</v>
      </c>
      <c r="O11" s="46" t="n">
        <f aca="false">_Engine_R50!K44/12</f>
        <v>0</v>
      </c>
      <c r="P11" s="46" t="n">
        <f aca="false">_Engine_R50!K45/12</f>
        <v>0</v>
      </c>
      <c r="Q11" s="46" t="n">
        <f aca="false">_Engine_R50!K46/12</f>
        <v>0</v>
      </c>
      <c r="R11" s="46" t="n">
        <f aca="false">_Engine_R50!K47/12</f>
        <v>0</v>
      </c>
      <c r="S11" s="46" t="n">
        <f aca="false">_Engine_R50!K48/12</f>
        <v>0</v>
      </c>
      <c r="T11" s="46" t="n">
        <f aca="false">_Engine_R50!K49/12</f>
        <v>0</v>
      </c>
      <c r="U11" s="46" t="n">
        <f aca="false">_Engine_R50!K50/12</f>
        <v>0</v>
      </c>
      <c r="V11" s="46" t="n">
        <f aca="false">_Engine_R50!K51/12</f>
        <v>0</v>
      </c>
      <c r="W11" s="46" t="n">
        <f aca="false">_Engine_R50!K52/12</f>
        <v>0</v>
      </c>
      <c r="X11" s="46" t="n">
        <f aca="false">_Engine_R50!K53/12</f>
        <v>0</v>
      </c>
      <c r="Y11" s="46" t="n">
        <f aca="false">_Engine_R50!K54/12</f>
        <v>0</v>
      </c>
      <c r="Z11" s="170" t="n">
        <f aca="false">_Engine_R50!K55/12</f>
        <v>0</v>
      </c>
      <c r="AA11" s="170" t="n">
        <f aca="false">_Engine_R50!K56/12</f>
        <v>0</v>
      </c>
      <c r="AB11" s="170" t="n">
        <f aca="false">_Engine_R50!K57/12</f>
        <v>0</v>
      </c>
      <c r="AC11" s="170" t="n">
        <f aca="false">_Engine_R50!K58/12</f>
        <v>0</v>
      </c>
      <c r="AD11" s="170" t="n">
        <f aca="false">_Engine_R50!K59/12</f>
        <v>0</v>
      </c>
      <c r="AE11" s="170" t="n">
        <f aca="false">_Engine_R50!K60/12</f>
        <v>0</v>
      </c>
      <c r="AF11" s="170" t="n">
        <f aca="false">_Engine_R50!K61/12</f>
        <v>0</v>
      </c>
      <c r="AG11" s="170" t="n">
        <f aca="false">_Engine_R50!K62/12</f>
        <v>0</v>
      </c>
      <c r="AH11" s="170" t="n">
        <f aca="false">_Engine_R50!K63/12</f>
        <v>0</v>
      </c>
      <c r="AI11" s="170" t="n">
        <f aca="false">_Engine_R50!K64/12</f>
        <v>0</v>
      </c>
      <c r="AJ11" s="170" t="n">
        <f aca="false">_Engine_R50!K65/12</f>
        <v>0</v>
      </c>
      <c r="AK11" s="170" t="n">
        <f aca="false">_Engine_R50!K66/12</f>
        <v>0</v>
      </c>
      <c r="AL11" s="46" t="n">
        <f aca="false">_Engine_R50!K67/12</f>
        <v>0</v>
      </c>
      <c r="AM11" s="46" t="n">
        <f aca="false">_Engine_R50!K68/12</f>
        <v>0</v>
      </c>
      <c r="AN11" s="46" t="n">
        <f aca="false">_Engine_R50!K69/12</f>
        <v>0</v>
      </c>
      <c r="AO11" s="46" t="n">
        <f aca="false">_Engine_R50!K70/12</f>
        <v>0</v>
      </c>
      <c r="AP11" s="46" t="n">
        <f aca="false">_Engine_R50!K71/12</f>
        <v>0</v>
      </c>
      <c r="AQ11" s="46" t="n">
        <f aca="false">_Engine_R50!K72/12</f>
        <v>0</v>
      </c>
      <c r="AR11" s="46" t="n">
        <f aca="false">_Engine_R50!K73/12</f>
        <v>0</v>
      </c>
      <c r="AS11" s="46" t="n">
        <f aca="false">_Engine_R50!K74/12</f>
        <v>0</v>
      </c>
      <c r="AT11" s="46" t="n">
        <f aca="false">_Engine_R50!K75/12</f>
        <v>0</v>
      </c>
      <c r="AU11" s="46" t="n">
        <f aca="false">_Engine_R50!K76/12</f>
        <v>0</v>
      </c>
      <c r="AV11" s="46" t="n">
        <f aca="false">_Engine_R50!K77/12</f>
        <v>0</v>
      </c>
      <c r="AW11" s="46" t="n">
        <f aca="false">_Engine_R50!K78/12</f>
        <v>0</v>
      </c>
      <c r="AX11" s="170" t="n">
        <f aca="false">_Engine_R50!K79/12</f>
        <v>0</v>
      </c>
      <c r="AY11" s="170" t="n">
        <f aca="false">_Engine_R50!K80/12</f>
        <v>0</v>
      </c>
      <c r="AZ11" s="170" t="n">
        <f aca="false">_Engine_R50!K81/12</f>
        <v>0</v>
      </c>
      <c r="BA11" s="170" t="n">
        <f aca="false">_Engine_R50!K82/12</f>
        <v>0</v>
      </c>
      <c r="BB11" s="170" t="n">
        <f aca="false">_Engine_R50!K83/12</f>
        <v>0</v>
      </c>
      <c r="BC11" s="170" t="n">
        <f aca="false">_Engine_R50!K84/12</f>
        <v>0</v>
      </c>
      <c r="BD11" s="170" t="n">
        <f aca="false">_Engine_R50!K85/12</f>
        <v>0</v>
      </c>
      <c r="BE11" s="170" t="n">
        <f aca="false">_Engine_R50!K86/12</f>
        <v>0</v>
      </c>
      <c r="BF11" s="170" t="n">
        <f aca="false">_Engine_R50!K87/12</f>
        <v>0</v>
      </c>
      <c r="BG11" s="170" t="n">
        <f aca="false">_Engine_R50!K88/12</f>
        <v>0</v>
      </c>
      <c r="BH11" s="170" t="n">
        <f aca="false">_Engine_R50!K89/12</f>
        <v>0</v>
      </c>
      <c r="BI11" s="170" t="n">
        <f aca="false">_Engine_R50!K90/12</f>
        <v>0</v>
      </c>
      <c r="BJ11" s="46" t="n">
        <f aca="false">_Engine_R50!K91/12</f>
        <v>0</v>
      </c>
      <c r="BK11" s="46" t="n">
        <f aca="false">_Engine_R50!K92/12</f>
        <v>0</v>
      </c>
      <c r="BL11" s="46" t="n">
        <f aca="false">_Engine_R50!K93/12</f>
        <v>0</v>
      </c>
      <c r="BM11" s="46" t="n">
        <f aca="false">_Engine_R50!K94/12</f>
        <v>0</v>
      </c>
      <c r="BN11" s="46" t="n">
        <f aca="false">_Engine_R50!K95/12</f>
        <v>0</v>
      </c>
      <c r="BO11" s="46" t="n">
        <f aca="false">_Engine_R50!K96/12</f>
        <v>0</v>
      </c>
      <c r="BP11" s="46" t="n">
        <f aca="false">_Engine_R50!K97/12</f>
        <v>0</v>
      </c>
      <c r="BQ11" s="46" t="n">
        <f aca="false">_Engine_R50!K98/12</f>
        <v>0</v>
      </c>
      <c r="BR11" s="46" t="n">
        <f aca="false">_Engine_R50!K99/12</f>
        <v>0</v>
      </c>
      <c r="BS11" s="46" t="n">
        <f aca="false">_Engine_R50!K100/12</f>
        <v>0</v>
      </c>
      <c r="BT11" s="46" t="n">
        <f aca="false">_Engine_R50!K101/12</f>
        <v>0</v>
      </c>
      <c r="BU11" s="46" t="n">
        <f aca="false">_Engine_R50!K102/12</f>
        <v>0</v>
      </c>
      <c r="BV11" s="170" t="n">
        <f aca="false">_Engine_R50!K103/12</f>
        <v>0</v>
      </c>
      <c r="BW11" s="170" t="n">
        <f aca="false">_Engine_R50!K104/12</f>
        <v>0</v>
      </c>
      <c r="BX11" s="170" t="n">
        <f aca="false">_Engine_R50!K105/12</f>
        <v>0</v>
      </c>
      <c r="BY11" s="170" t="n">
        <f aca="false">_Engine_R50!K106/12</f>
        <v>0</v>
      </c>
      <c r="BZ11" s="170" t="n">
        <f aca="false">_Engine_R50!K107/12</f>
        <v>0</v>
      </c>
      <c r="CA11" s="170" t="n">
        <f aca="false">_Engine_R50!K108/12</f>
        <v>0</v>
      </c>
      <c r="CB11" s="170" t="n">
        <f aca="false">_Engine_R50!K109/12</f>
        <v>0</v>
      </c>
      <c r="CC11" s="170" t="n">
        <f aca="false">_Engine_R50!K110/12</f>
        <v>0</v>
      </c>
      <c r="CD11" s="170" t="n">
        <f aca="false">_Engine_R50!K111/12</f>
        <v>0</v>
      </c>
      <c r="CE11" s="170" t="n">
        <f aca="false">_Engine_R50!K112/12</f>
        <v>0</v>
      </c>
      <c r="CF11" s="170" t="n">
        <f aca="false">_Engine_R50!K113/12</f>
        <v>0</v>
      </c>
      <c r="CG11" s="170" t="n">
        <f aca="false">_Engine_R50!K114/12</f>
        <v>0</v>
      </c>
      <c r="CH11" s="46" t="n">
        <f aca="false">_Engine_R50!K115/12</f>
        <v>0</v>
      </c>
      <c r="CI11" s="46" t="n">
        <f aca="false">_Engine_R50!K116/12</f>
        <v>0</v>
      </c>
      <c r="CJ11" s="46" t="n">
        <f aca="false">_Engine_R50!K117/12</f>
        <v>0</v>
      </c>
      <c r="CK11" s="46" t="n">
        <f aca="false">_Engine_R50!K118/12</f>
        <v>0</v>
      </c>
      <c r="CL11" s="46" t="n">
        <f aca="false">_Engine_R50!K119/12</f>
        <v>0</v>
      </c>
      <c r="CM11" s="46" t="n">
        <f aca="false">_Engine_R50!K120/12</f>
        <v>0</v>
      </c>
      <c r="CN11" s="46" t="n">
        <f aca="false">_Engine_R50!K121/12</f>
        <v>0</v>
      </c>
      <c r="CO11" s="46" t="n">
        <f aca="false">_Engine_R50!K122/12</f>
        <v>0</v>
      </c>
      <c r="CP11" s="46" t="n">
        <f aca="false">_Engine_R50!K123/12</f>
        <v>0</v>
      </c>
      <c r="CQ11" s="46" t="n">
        <f aca="false">_Engine_R50!K124/12</f>
        <v>0</v>
      </c>
      <c r="CR11" s="46" t="n">
        <f aca="false">_Engine_R50!K125/12</f>
        <v>0</v>
      </c>
      <c r="CS11" s="46" t="n">
        <f aca="false">_Engine_R50!K126/12</f>
        <v>0</v>
      </c>
      <c r="CT11" s="170" t="n">
        <f aca="false">_Engine_R50!K127/12</f>
        <v>0</v>
      </c>
      <c r="CU11" s="170" t="n">
        <f aca="false">_Engine_R50!K128/12</f>
        <v>0</v>
      </c>
      <c r="CV11" s="170" t="n">
        <f aca="false">_Engine_R50!K129/12</f>
        <v>0</v>
      </c>
      <c r="CW11" s="170" t="n">
        <f aca="false">_Engine_R50!K130/12</f>
        <v>0</v>
      </c>
      <c r="CX11" s="170" t="n">
        <f aca="false">_Engine_R50!K131/12</f>
        <v>0</v>
      </c>
      <c r="CY11" s="170" t="n">
        <f aca="false">_Engine_R50!K132/12</f>
        <v>0</v>
      </c>
      <c r="CZ11" s="170" t="n">
        <f aca="false">_Engine_R50!K133/12</f>
        <v>0</v>
      </c>
      <c r="DA11" s="170" t="n">
        <f aca="false">_Engine_R50!K134/12</f>
        <v>0</v>
      </c>
      <c r="DB11" s="170" t="n">
        <f aca="false">_Engine_R50!K135/12</f>
        <v>0</v>
      </c>
      <c r="DC11" s="170" t="n">
        <f aca="false">_Engine_R50!K136/12</f>
        <v>0</v>
      </c>
      <c r="DD11" s="170" t="n">
        <f aca="false">_Engine_R50!K137/12</f>
        <v>0</v>
      </c>
      <c r="DE11" s="170" t="n">
        <f aca="false">_Engine_R50!K138/12</f>
        <v>0</v>
      </c>
      <c r="DF11" s="46" t="n">
        <f aca="false">_Engine_R50!K139/12</f>
        <v>0</v>
      </c>
      <c r="DG11" s="46" t="n">
        <f aca="false">_Engine_R50!K140/12</f>
        <v>0</v>
      </c>
      <c r="DH11" s="46" t="n">
        <f aca="false">_Engine_R50!K141/12</f>
        <v>0</v>
      </c>
      <c r="DI11" s="46" t="n">
        <f aca="false">_Engine_R50!K142/12</f>
        <v>0</v>
      </c>
      <c r="DJ11" s="46" t="n">
        <f aca="false">_Engine_R50!K143/12</f>
        <v>0</v>
      </c>
      <c r="DK11" s="46" t="n">
        <f aca="false">_Engine_R50!K144/12</f>
        <v>0</v>
      </c>
      <c r="DL11" s="46" t="n">
        <f aca="false">_Engine_R50!K145/12</f>
        <v>0</v>
      </c>
      <c r="DM11" s="46" t="n">
        <f aca="false">_Engine_R50!K146/12</f>
        <v>0</v>
      </c>
      <c r="DN11" s="46" t="n">
        <f aca="false">_Engine_R50!K147/12</f>
        <v>0</v>
      </c>
      <c r="DO11" s="46" t="n">
        <f aca="false">_Engine_R50!K148/12</f>
        <v>0</v>
      </c>
      <c r="DP11" s="46" t="n">
        <f aca="false">_Engine_R50!K149/12</f>
        <v>0</v>
      </c>
      <c r="DQ11" s="46" t="n">
        <f aca="false">_Engine_R50!K150/12</f>
        <v>0</v>
      </c>
      <c r="DR11" s="170" t="n">
        <f aca="false">_Engine_R50!K151/12</f>
        <v>0</v>
      </c>
      <c r="DS11" s="170" t="n">
        <f aca="false">_Engine_R50!K152/12</f>
        <v>0</v>
      </c>
      <c r="DT11" s="170" t="n">
        <f aca="false">_Engine_R50!K153/12</f>
        <v>0</v>
      </c>
      <c r="DU11" s="170" t="n">
        <f aca="false">_Engine_R50!K154/12</f>
        <v>0</v>
      </c>
      <c r="DV11" s="170" t="n">
        <f aca="false">_Engine_R50!K155/12</f>
        <v>0</v>
      </c>
      <c r="DW11" s="170" t="n">
        <f aca="false">_Engine_R50!K156/12</f>
        <v>0</v>
      </c>
      <c r="DX11" s="170" t="n">
        <f aca="false">_Engine_R50!K157/12</f>
        <v>0</v>
      </c>
      <c r="DY11" s="170" t="n">
        <f aca="false">_Engine_R50!K158/12</f>
        <v>0</v>
      </c>
      <c r="DZ11" s="170" t="n">
        <f aca="false">_Engine_R50!K159/12</f>
        <v>0</v>
      </c>
      <c r="EA11" s="170" t="n">
        <f aca="false">_Engine_R50!K160/12</f>
        <v>0</v>
      </c>
      <c r="EB11" s="170" t="n">
        <f aca="false">_Engine_R50!K161/12</f>
        <v>0</v>
      </c>
      <c r="EC11" s="170" t="n">
        <f aca="false">_Engine_R50!K162/12</f>
        <v>0</v>
      </c>
      <c r="ED11" s="46" t="n">
        <f aca="false">_Engine_R50!K163/12</f>
        <v>0</v>
      </c>
      <c r="EE11" s="46" t="n">
        <f aca="false">_Engine_R50!K164/12</f>
        <v>0</v>
      </c>
      <c r="EF11" s="46" t="n">
        <f aca="false">_Engine_R50!K165/12</f>
        <v>0</v>
      </c>
      <c r="EG11" s="46" t="n">
        <f aca="false">_Engine_R50!K166/12</f>
        <v>0</v>
      </c>
      <c r="EH11" s="46" t="n">
        <f aca="false">_Engine_R50!K167/12</f>
        <v>0</v>
      </c>
      <c r="EI11" s="46" t="n">
        <f aca="false">_Engine_R50!K168/12</f>
        <v>0</v>
      </c>
      <c r="EJ11" s="46" t="n">
        <f aca="false">_Engine_R50!K169/12</f>
        <v>0</v>
      </c>
      <c r="EK11" s="46" t="n">
        <f aca="false">_Engine_R50!K170/12</f>
        <v>0</v>
      </c>
      <c r="EL11" s="46" t="n">
        <f aca="false">_Engine_R50!K171/12</f>
        <v>0</v>
      </c>
      <c r="EM11" s="46" t="n">
        <f aca="false">_Engine_R50!K172/12</f>
        <v>0</v>
      </c>
      <c r="EN11" s="46" t="n">
        <f aca="false">_Engine_R50!K173/12</f>
        <v>0</v>
      </c>
      <c r="EO11" s="46" t="n">
        <f aca="false">_Engine_R50!K174/12</f>
        <v>0</v>
      </c>
      <c r="EP11" s="170" t="n">
        <f aca="false">_Engine_R50!K175/12</f>
        <v>0</v>
      </c>
      <c r="EQ11" s="170" t="n">
        <f aca="false">_Engine_R50!K176/12</f>
        <v>0</v>
      </c>
      <c r="ER11" s="170" t="n">
        <f aca="false">_Engine_R50!K177/12</f>
        <v>0</v>
      </c>
      <c r="ES11" s="170" t="n">
        <f aca="false">_Engine_R50!K178/12</f>
        <v>0</v>
      </c>
      <c r="ET11" s="170" t="n">
        <f aca="false">_Engine_R50!K179/12</f>
        <v>0</v>
      </c>
      <c r="EU11" s="170" t="n">
        <f aca="false">_Engine_R50!K180/12</f>
        <v>0</v>
      </c>
      <c r="EV11" s="170" t="n">
        <f aca="false">_Engine_R50!K181/12</f>
        <v>0</v>
      </c>
      <c r="EW11" s="170" t="n">
        <f aca="false">_Engine_R50!K182/12</f>
        <v>0</v>
      </c>
      <c r="EX11" s="170" t="n">
        <f aca="false">_Engine_R50!K183/12</f>
        <v>0</v>
      </c>
      <c r="EY11" s="170" t="n">
        <f aca="false">_Engine_R50!K184/12</f>
        <v>0</v>
      </c>
      <c r="EZ11" s="170" t="n">
        <f aca="false">_Engine_R50!K185/12</f>
        <v>0</v>
      </c>
      <c r="FA11" s="170" t="n">
        <f aca="false">_Engine_R50!K186/12</f>
        <v>0</v>
      </c>
      <c r="FB11" s="46" t="n">
        <f aca="false">_Engine_R50!K187/12</f>
        <v>0</v>
      </c>
      <c r="FC11" s="46" t="n">
        <f aca="false">_Engine_R50!K188/12</f>
        <v>0</v>
      </c>
      <c r="FD11" s="46" t="n">
        <f aca="false">_Engine_R50!K189/12</f>
        <v>0</v>
      </c>
      <c r="FE11" s="46" t="n">
        <f aca="false">_Engine_R50!K190/12</f>
        <v>0</v>
      </c>
      <c r="FF11" s="46" t="n">
        <f aca="false">_Engine_R50!K191/12</f>
        <v>0</v>
      </c>
      <c r="FG11" s="46" t="n">
        <f aca="false">_Engine_R50!K192/12</f>
        <v>0</v>
      </c>
      <c r="FH11" s="46" t="n">
        <f aca="false">_Engine_R50!K193/12</f>
        <v>0</v>
      </c>
      <c r="FI11" s="46" t="n">
        <f aca="false">_Engine_R50!K194/12</f>
        <v>0</v>
      </c>
      <c r="FJ11" s="46" t="n">
        <f aca="false">_Engine_R50!K195/12</f>
        <v>0</v>
      </c>
      <c r="FK11" s="46" t="n">
        <f aca="false">_Engine_R50!K196/12</f>
        <v>0</v>
      </c>
      <c r="FL11" s="46" t="n">
        <f aca="false">_Engine_R50!K197/12</f>
        <v>0</v>
      </c>
      <c r="FM11" s="46" t="n">
        <f aca="false">_Engine_R50!K198/12</f>
        <v>0</v>
      </c>
      <c r="FN11" s="170" t="n">
        <f aca="false">_Engine_R50!K199/12</f>
        <v>0</v>
      </c>
      <c r="FO11" s="170" t="n">
        <f aca="false">_Engine_R50!K200/12</f>
        <v>0</v>
      </c>
      <c r="FP11" s="170" t="n">
        <f aca="false">_Engine_R50!K201/12</f>
        <v>0</v>
      </c>
      <c r="FQ11" s="170" t="n">
        <f aca="false">_Engine_R50!K202/12</f>
        <v>0</v>
      </c>
      <c r="FR11" s="170" t="n">
        <f aca="false">_Engine_R50!K203/12</f>
        <v>0</v>
      </c>
      <c r="FS11" s="170" t="n">
        <f aca="false">_Engine_R50!K204/12</f>
        <v>0</v>
      </c>
      <c r="FT11" s="170" t="n">
        <f aca="false">_Engine_R50!K205/12</f>
        <v>0</v>
      </c>
      <c r="FU11" s="170" t="n">
        <f aca="false">_Engine_R50!K206/12</f>
        <v>0</v>
      </c>
      <c r="FV11" s="170" t="n">
        <f aca="false">_Engine_R50!K207/12</f>
        <v>0</v>
      </c>
      <c r="FW11" s="170" t="n">
        <f aca="false">_Engine_R50!K208/12</f>
        <v>0</v>
      </c>
      <c r="FX11" s="170" t="n">
        <f aca="false">_Engine_R50!K209/12</f>
        <v>0</v>
      </c>
      <c r="FY11" s="170" t="n">
        <f aca="false">_Engine_R50!K210/12</f>
        <v>0</v>
      </c>
      <c r="FZ11" s="1"/>
    </row>
    <row r="12" customFormat="false" ht="15" hidden="false" customHeight="true" outlineLevel="0" collapsed="false">
      <c r="A12" s="17" t="s">
        <v>431</v>
      </c>
      <c r="B12" s="170" t="n">
        <f aca="false">_Engine_R50!L31/12</f>
        <v>0</v>
      </c>
      <c r="C12" s="170" t="n">
        <f aca="false">_Engine_R50!L32/12</f>
        <v>0</v>
      </c>
      <c r="D12" s="170" t="n">
        <f aca="false">_Engine_R50!L33/12</f>
        <v>0</v>
      </c>
      <c r="E12" s="170" t="n">
        <f aca="false">_Engine_R50!L34/12</f>
        <v>0</v>
      </c>
      <c r="F12" s="170" t="n">
        <f aca="false">_Engine_R50!L35/12</f>
        <v>0</v>
      </c>
      <c r="G12" s="170" t="n">
        <f aca="false">_Engine_R50!L36/12</f>
        <v>0</v>
      </c>
      <c r="H12" s="170" t="n">
        <f aca="false">_Engine_R50!L37/12</f>
        <v>0</v>
      </c>
      <c r="I12" s="170" t="n">
        <f aca="false">_Engine_R50!L38/12</f>
        <v>0</v>
      </c>
      <c r="J12" s="170" t="n">
        <f aca="false">_Engine_R50!L39/12</f>
        <v>0</v>
      </c>
      <c r="K12" s="170" t="n">
        <f aca="false">_Engine_R50!L40/12</f>
        <v>0</v>
      </c>
      <c r="L12" s="170" t="n">
        <f aca="false">_Engine_R50!L41/12</f>
        <v>0</v>
      </c>
      <c r="M12" s="170" t="n">
        <f aca="false">_Engine_R50!L42/12</f>
        <v>0</v>
      </c>
      <c r="N12" s="46" t="n">
        <f aca="false">_Engine_R50!L43/12</f>
        <v>0</v>
      </c>
      <c r="O12" s="46" t="n">
        <f aca="false">_Engine_R50!L44/12</f>
        <v>0</v>
      </c>
      <c r="P12" s="46" t="n">
        <f aca="false">_Engine_R50!L45/12</f>
        <v>0</v>
      </c>
      <c r="Q12" s="46" t="n">
        <f aca="false">_Engine_R50!L46/12</f>
        <v>0</v>
      </c>
      <c r="R12" s="46" t="n">
        <f aca="false">_Engine_R50!L47/12</f>
        <v>0</v>
      </c>
      <c r="S12" s="46" t="n">
        <f aca="false">_Engine_R50!L48/12</f>
        <v>0</v>
      </c>
      <c r="T12" s="46" t="n">
        <f aca="false">_Engine_R50!L49/12</f>
        <v>0</v>
      </c>
      <c r="U12" s="46" t="n">
        <f aca="false">_Engine_R50!L50/12</f>
        <v>0</v>
      </c>
      <c r="V12" s="46" t="n">
        <f aca="false">_Engine_R50!L51/12</f>
        <v>0</v>
      </c>
      <c r="W12" s="46" t="n">
        <f aca="false">_Engine_R50!L52/12</f>
        <v>0</v>
      </c>
      <c r="X12" s="46" t="n">
        <f aca="false">_Engine_R50!L53/12</f>
        <v>0</v>
      </c>
      <c r="Y12" s="46" t="n">
        <f aca="false">_Engine_R50!L54/12</f>
        <v>0</v>
      </c>
      <c r="Z12" s="170" t="n">
        <f aca="false">_Engine_R50!L55/12</f>
        <v>0</v>
      </c>
      <c r="AA12" s="170" t="n">
        <f aca="false">_Engine_R50!L56/12</f>
        <v>0</v>
      </c>
      <c r="AB12" s="170" t="n">
        <f aca="false">_Engine_R50!L57/12</f>
        <v>0</v>
      </c>
      <c r="AC12" s="170" t="n">
        <f aca="false">_Engine_R50!L58/12</f>
        <v>0</v>
      </c>
      <c r="AD12" s="170" t="n">
        <f aca="false">_Engine_R50!L59/12</f>
        <v>0</v>
      </c>
      <c r="AE12" s="170" t="n">
        <f aca="false">_Engine_R50!L60/12</f>
        <v>0</v>
      </c>
      <c r="AF12" s="170" t="n">
        <f aca="false">_Engine_R50!L61/12</f>
        <v>0</v>
      </c>
      <c r="AG12" s="170" t="n">
        <f aca="false">_Engine_R50!L62/12</f>
        <v>0</v>
      </c>
      <c r="AH12" s="170" t="n">
        <f aca="false">_Engine_R50!L63/12</f>
        <v>0</v>
      </c>
      <c r="AI12" s="170" t="n">
        <f aca="false">_Engine_R50!L64/12</f>
        <v>0</v>
      </c>
      <c r="AJ12" s="170" t="n">
        <f aca="false">_Engine_R50!L65/12</f>
        <v>0</v>
      </c>
      <c r="AK12" s="170" t="n">
        <f aca="false">_Engine_R50!L66/12</f>
        <v>0</v>
      </c>
      <c r="AL12" s="46" t="n">
        <f aca="false">_Engine_R50!L67/12</f>
        <v>0</v>
      </c>
      <c r="AM12" s="46" t="n">
        <f aca="false">_Engine_R50!L68/12</f>
        <v>0</v>
      </c>
      <c r="AN12" s="46" t="n">
        <f aca="false">_Engine_R50!L69/12</f>
        <v>0</v>
      </c>
      <c r="AO12" s="46" t="n">
        <f aca="false">_Engine_R50!L70/12</f>
        <v>0</v>
      </c>
      <c r="AP12" s="46" t="n">
        <f aca="false">_Engine_R50!L71/12</f>
        <v>0</v>
      </c>
      <c r="AQ12" s="46" t="n">
        <f aca="false">_Engine_R50!L72/12</f>
        <v>0</v>
      </c>
      <c r="AR12" s="46" t="n">
        <f aca="false">_Engine_R50!L73/12</f>
        <v>0</v>
      </c>
      <c r="AS12" s="46" t="n">
        <f aca="false">_Engine_R50!L74/12</f>
        <v>0</v>
      </c>
      <c r="AT12" s="46" t="n">
        <f aca="false">_Engine_R50!L75/12</f>
        <v>0</v>
      </c>
      <c r="AU12" s="46" t="n">
        <f aca="false">_Engine_R50!L76/12</f>
        <v>0</v>
      </c>
      <c r="AV12" s="46" t="n">
        <f aca="false">_Engine_R50!L77/12</f>
        <v>0</v>
      </c>
      <c r="AW12" s="46" t="n">
        <f aca="false">_Engine_R50!L78/12</f>
        <v>0</v>
      </c>
      <c r="AX12" s="170" t="n">
        <f aca="false">_Engine_R50!L79/12</f>
        <v>0</v>
      </c>
      <c r="AY12" s="170" t="n">
        <f aca="false">_Engine_R50!L80/12</f>
        <v>0</v>
      </c>
      <c r="AZ12" s="170" t="n">
        <f aca="false">_Engine_R50!L81/12</f>
        <v>0</v>
      </c>
      <c r="BA12" s="170" t="n">
        <f aca="false">_Engine_R50!L82/12</f>
        <v>0</v>
      </c>
      <c r="BB12" s="170" t="n">
        <f aca="false">_Engine_R50!L83/12</f>
        <v>0</v>
      </c>
      <c r="BC12" s="170" t="n">
        <f aca="false">_Engine_R50!L84/12</f>
        <v>0</v>
      </c>
      <c r="BD12" s="170" t="n">
        <f aca="false">_Engine_R50!L85/12</f>
        <v>0</v>
      </c>
      <c r="BE12" s="170" t="n">
        <f aca="false">_Engine_R50!L86/12</f>
        <v>0</v>
      </c>
      <c r="BF12" s="170" t="n">
        <f aca="false">_Engine_R50!L87/12</f>
        <v>0</v>
      </c>
      <c r="BG12" s="170" t="n">
        <f aca="false">_Engine_R50!L88/12</f>
        <v>0</v>
      </c>
      <c r="BH12" s="170" t="n">
        <f aca="false">_Engine_R50!L89/12</f>
        <v>0</v>
      </c>
      <c r="BI12" s="170" t="n">
        <f aca="false">_Engine_R50!L90/12</f>
        <v>0</v>
      </c>
      <c r="BJ12" s="46" t="n">
        <f aca="false">_Engine_R50!L91/12</f>
        <v>0</v>
      </c>
      <c r="BK12" s="46" t="n">
        <f aca="false">_Engine_R50!L92/12</f>
        <v>0</v>
      </c>
      <c r="BL12" s="46" t="n">
        <f aca="false">_Engine_R50!L93/12</f>
        <v>0</v>
      </c>
      <c r="BM12" s="46" t="n">
        <f aca="false">_Engine_R50!L94/12</f>
        <v>0</v>
      </c>
      <c r="BN12" s="46" t="n">
        <f aca="false">_Engine_R50!L95/12</f>
        <v>0</v>
      </c>
      <c r="BO12" s="46" t="n">
        <f aca="false">_Engine_R50!L96/12</f>
        <v>0</v>
      </c>
      <c r="BP12" s="46" t="n">
        <f aca="false">_Engine_R50!L97/12</f>
        <v>0</v>
      </c>
      <c r="BQ12" s="46" t="n">
        <f aca="false">_Engine_R50!L98/12</f>
        <v>0</v>
      </c>
      <c r="BR12" s="46" t="n">
        <f aca="false">_Engine_R50!L99/12</f>
        <v>0</v>
      </c>
      <c r="BS12" s="46" t="n">
        <f aca="false">_Engine_R50!L100/12</f>
        <v>0</v>
      </c>
      <c r="BT12" s="46" t="n">
        <f aca="false">_Engine_R50!L101/12</f>
        <v>0</v>
      </c>
      <c r="BU12" s="46" t="n">
        <f aca="false">_Engine_R50!L102/12</f>
        <v>0</v>
      </c>
      <c r="BV12" s="170" t="n">
        <f aca="false">_Engine_R50!L103/12</f>
        <v>0</v>
      </c>
      <c r="BW12" s="170" t="n">
        <f aca="false">_Engine_R50!L104/12</f>
        <v>0</v>
      </c>
      <c r="BX12" s="170" t="n">
        <f aca="false">_Engine_R50!L105/12</f>
        <v>0</v>
      </c>
      <c r="BY12" s="170" t="n">
        <f aca="false">_Engine_R50!L106/12</f>
        <v>0</v>
      </c>
      <c r="BZ12" s="170" t="n">
        <f aca="false">_Engine_R50!L107/12</f>
        <v>0</v>
      </c>
      <c r="CA12" s="170" t="n">
        <f aca="false">_Engine_R50!L108/12</f>
        <v>0</v>
      </c>
      <c r="CB12" s="170" t="n">
        <f aca="false">_Engine_R50!L109/12</f>
        <v>0</v>
      </c>
      <c r="CC12" s="170" t="n">
        <f aca="false">_Engine_R50!L110/12</f>
        <v>0</v>
      </c>
      <c r="CD12" s="170" t="n">
        <f aca="false">_Engine_R50!L111/12</f>
        <v>0</v>
      </c>
      <c r="CE12" s="170" t="n">
        <f aca="false">_Engine_R50!L112/12</f>
        <v>0</v>
      </c>
      <c r="CF12" s="170" t="n">
        <f aca="false">_Engine_R50!L113/12</f>
        <v>0</v>
      </c>
      <c r="CG12" s="170" t="n">
        <f aca="false">_Engine_R50!L114/12</f>
        <v>0</v>
      </c>
      <c r="CH12" s="46" t="n">
        <f aca="false">_Engine_R50!L115/12</f>
        <v>0</v>
      </c>
      <c r="CI12" s="46" t="n">
        <f aca="false">_Engine_R50!L116/12</f>
        <v>0</v>
      </c>
      <c r="CJ12" s="46" t="n">
        <f aca="false">_Engine_R50!L117/12</f>
        <v>0</v>
      </c>
      <c r="CK12" s="46" t="n">
        <f aca="false">_Engine_R50!L118/12</f>
        <v>0</v>
      </c>
      <c r="CL12" s="46" t="n">
        <f aca="false">_Engine_R50!L119/12</f>
        <v>0</v>
      </c>
      <c r="CM12" s="46" t="n">
        <f aca="false">_Engine_R50!L120/12</f>
        <v>0</v>
      </c>
      <c r="CN12" s="46" t="n">
        <f aca="false">_Engine_R50!L121/12</f>
        <v>0</v>
      </c>
      <c r="CO12" s="46" t="n">
        <f aca="false">_Engine_R50!L122/12</f>
        <v>0</v>
      </c>
      <c r="CP12" s="46" t="n">
        <f aca="false">_Engine_R50!L123/12</f>
        <v>0</v>
      </c>
      <c r="CQ12" s="46" t="n">
        <f aca="false">_Engine_R50!L124/12</f>
        <v>0</v>
      </c>
      <c r="CR12" s="46" t="n">
        <f aca="false">_Engine_R50!L125/12</f>
        <v>0</v>
      </c>
      <c r="CS12" s="46" t="n">
        <f aca="false">_Engine_R50!L126/12</f>
        <v>0</v>
      </c>
      <c r="CT12" s="170" t="n">
        <f aca="false">_Engine_R50!L127/12</f>
        <v>0</v>
      </c>
      <c r="CU12" s="170" t="n">
        <f aca="false">_Engine_R50!L128/12</f>
        <v>0</v>
      </c>
      <c r="CV12" s="170" t="n">
        <f aca="false">_Engine_R50!L129/12</f>
        <v>0</v>
      </c>
      <c r="CW12" s="170" t="n">
        <f aca="false">_Engine_R50!L130/12</f>
        <v>0</v>
      </c>
      <c r="CX12" s="170" t="n">
        <f aca="false">_Engine_R50!L131/12</f>
        <v>0</v>
      </c>
      <c r="CY12" s="170" t="n">
        <f aca="false">_Engine_R50!L132/12</f>
        <v>0</v>
      </c>
      <c r="CZ12" s="170" t="n">
        <f aca="false">_Engine_R50!L133/12</f>
        <v>0</v>
      </c>
      <c r="DA12" s="170" t="n">
        <f aca="false">_Engine_R50!L134/12</f>
        <v>0</v>
      </c>
      <c r="DB12" s="170" t="n">
        <f aca="false">_Engine_R50!L135/12</f>
        <v>0</v>
      </c>
      <c r="DC12" s="170" t="n">
        <f aca="false">_Engine_R50!L136/12</f>
        <v>0</v>
      </c>
      <c r="DD12" s="170" t="n">
        <f aca="false">_Engine_R50!L137/12</f>
        <v>0</v>
      </c>
      <c r="DE12" s="170" t="n">
        <f aca="false">_Engine_R50!L138/12</f>
        <v>0</v>
      </c>
      <c r="DF12" s="46" t="n">
        <f aca="false">_Engine_R50!L139/12</f>
        <v>0</v>
      </c>
      <c r="DG12" s="46" t="n">
        <f aca="false">_Engine_R50!L140/12</f>
        <v>0</v>
      </c>
      <c r="DH12" s="46" t="n">
        <f aca="false">_Engine_R50!L141/12</f>
        <v>0</v>
      </c>
      <c r="DI12" s="46" t="n">
        <f aca="false">_Engine_R50!L142/12</f>
        <v>0</v>
      </c>
      <c r="DJ12" s="46" t="n">
        <f aca="false">_Engine_R50!L143/12</f>
        <v>0</v>
      </c>
      <c r="DK12" s="46" t="n">
        <f aca="false">_Engine_R50!L144/12</f>
        <v>0</v>
      </c>
      <c r="DL12" s="46" t="n">
        <f aca="false">_Engine_R50!L145/12</f>
        <v>0</v>
      </c>
      <c r="DM12" s="46" t="n">
        <f aca="false">_Engine_R50!L146/12</f>
        <v>0</v>
      </c>
      <c r="DN12" s="46" t="n">
        <f aca="false">_Engine_R50!L147/12</f>
        <v>0</v>
      </c>
      <c r="DO12" s="46" t="n">
        <f aca="false">_Engine_R50!L148/12</f>
        <v>0</v>
      </c>
      <c r="DP12" s="46" t="n">
        <f aca="false">_Engine_R50!L149/12</f>
        <v>0</v>
      </c>
      <c r="DQ12" s="46" t="n">
        <f aca="false">_Engine_R50!L150/12</f>
        <v>0</v>
      </c>
      <c r="DR12" s="170" t="n">
        <f aca="false">_Engine_R50!L151/12</f>
        <v>0</v>
      </c>
      <c r="DS12" s="170" t="n">
        <f aca="false">_Engine_R50!L152/12</f>
        <v>0</v>
      </c>
      <c r="DT12" s="170" t="n">
        <f aca="false">_Engine_R50!L153/12</f>
        <v>0</v>
      </c>
      <c r="DU12" s="170" t="n">
        <f aca="false">_Engine_R50!L154/12</f>
        <v>0</v>
      </c>
      <c r="DV12" s="170" t="n">
        <f aca="false">_Engine_R50!L155/12</f>
        <v>0</v>
      </c>
      <c r="DW12" s="170" t="n">
        <f aca="false">_Engine_R50!L156/12</f>
        <v>0</v>
      </c>
      <c r="DX12" s="170" t="n">
        <f aca="false">_Engine_R50!L157/12</f>
        <v>0</v>
      </c>
      <c r="DY12" s="170" t="n">
        <f aca="false">_Engine_R50!L158/12</f>
        <v>0</v>
      </c>
      <c r="DZ12" s="170" t="n">
        <f aca="false">_Engine_R50!L159/12</f>
        <v>0</v>
      </c>
      <c r="EA12" s="170" t="n">
        <f aca="false">_Engine_R50!L160/12</f>
        <v>0</v>
      </c>
      <c r="EB12" s="170" t="n">
        <f aca="false">_Engine_R50!L161/12</f>
        <v>0</v>
      </c>
      <c r="EC12" s="170" t="n">
        <f aca="false">_Engine_R50!L162/12</f>
        <v>0</v>
      </c>
      <c r="ED12" s="46" t="n">
        <f aca="false">_Engine_R50!L163/12</f>
        <v>0</v>
      </c>
      <c r="EE12" s="46" t="n">
        <f aca="false">_Engine_R50!L164/12</f>
        <v>0</v>
      </c>
      <c r="EF12" s="46" t="n">
        <f aca="false">_Engine_R50!L165/12</f>
        <v>0</v>
      </c>
      <c r="EG12" s="46" t="n">
        <f aca="false">_Engine_R50!L166/12</f>
        <v>0</v>
      </c>
      <c r="EH12" s="46" t="n">
        <f aca="false">_Engine_R50!L167/12</f>
        <v>0</v>
      </c>
      <c r="EI12" s="46" t="n">
        <f aca="false">_Engine_R50!L168/12</f>
        <v>0</v>
      </c>
      <c r="EJ12" s="46" t="n">
        <f aca="false">_Engine_R50!L169/12</f>
        <v>0</v>
      </c>
      <c r="EK12" s="46" t="n">
        <f aca="false">_Engine_R50!L170/12</f>
        <v>0</v>
      </c>
      <c r="EL12" s="46" t="n">
        <f aca="false">_Engine_R50!L171/12</f>
        <v>0</v>
      </c>
      <c r="EM12" s="46" t="n">
        <f aca="false">_Engine_R50!L172/12</f>
        <v>0</v>
      </c>
      <c r="EN12" s="46" t="n">
        <f aca="false">_Engine_R50!L173/12</f>
        <v>0</v>
      </c>
      <c r="EO12" s="46" t="n">
        <f aca="false">_Engine_R50!L174/12</f>
        <v>0</v>
      </c>
      <c r="EP12" s="170" t="n">
        <f aca="false">_Engine_R50!L175/12</f>
        <v>0</v>
      </c>
      <c r="EQ12" s="170" t="n">
        <f aca="false">_Engine_R50!L176/12</f>
        <v>0</v>
      </c>
      <c r="ER12" s="170" t="n">
        <f aca="false">_Engine_R50!L177/12</f>
        <v>0</v>
      </c>
      <c r="ES12" s="170" t="n">
        <f aca="false">_Engine_R50!L178/12</f>
        <v>0</v>
      </c>
      <c r="ET12" s="170" t="n">
        <f aca="false">_Engine_R50!L179/12</f>
        <v>0</v>
      </c>
      <c r="EU12" s="170" t="n">
        <f aca="false">_Engine_R50!L180/12</f>
        <v>0</v>
      </c>
      <c r="EV12" s="170" t="n">
        <f aca="false">_Engine_R50!L181/12</f>
        <v>0</v>
      </c>
      <c r="EW12" s="170" t="n">
        <f aca="false">_Engine_R50!L182/12</f>
        <v>0</v>
      </c>
      <c r="EX12" s="170" t="n">
        <f aca="false">_Engine_R50!L183/12</f>
        <v>0</v>
      </c>
      <c r="EY12" s="170" t="n">
        <f aca="false">_Engine_R50!L184/12</f>
        <v>0</v>
      </c>
      <c r="EZ12" s="170" t="n">
        <f aca="false">_Engine_R50!L185/12</f>
        <v>0</v>
      </c>
      <c r="FA12" s="170" t="n">
        <f aca="false">_Engine_R50!L186/12</f>
        <v>0</v>
      </c>
      <c r="FB12" s="46" t="n">
        <f aca="false">_Engine_R50!L187/12</f>
        <v>0</v>
      </c>
      <c r="FC12" s="46" t="n">
        <f aca="false">_Engine_R50!L188/12</f>
        <v>0</v>
      </c>
      <c r="FD12" s="46" t="n">
        <f aca="false">_Engine_R50!L189/12</f>
        <v>0</v>
      </c>
      <c r="FE12" s="46" t="n">
        <f aca="false">_Engine_R50!L190/12</f>
        <v>0</v>
      </c>
      <c r="FF12" s="46" t="n">
        <f aca="false">_Engine_R50!L191/12</f>
        <v>0</v>
      </c>
      <c r="FG12" s="46" t="n">
        <f aca="false">_Engine_R50!L192/12</f>
        <v>0</v>
      </c>
      <c r="FH12" s="46" t="n">
        <f aca="false">_Engine_R50!L193/12</f>
        <v>0</v>
      </c>
      <c r="FI12" s="46" t="n">
        <f aca="false">_Engine_R50!L194/12</f>
        <v>0</v>
      </c>
      <c r="FJ12" s="46" t="n">
        <f aca="false">_Engine_R50!L195/12</f>
        <v>0</v>
      </c>
      <c r="FK12" s="46" t="n">
        <f aca="false">_Engine_R50!L196/12</f>
        <v>0</v>
      </c>
      <c r="FL12" s="46" t="n">
        <f aca="false">_Engine_R50!L197/12</f>
        <v>0</v>
      </c>
      <c r="FM12" s="46" t="n">
        <f aca="false">_Engine_R50!L198/12</f>
        <v>0</v>
      </c>
      <c r="FN12" s="170" t="n">
        <f aca="false">_Engine_R50!L199/12</f>
        <v>0</v>
      </c>
      <c r="FO12" s="170" t="n">
        <f aca="false">_Engine_R50!L200/12</f>
        <v>0</v>
      </c>
      <c r="FP12" s="170" t="n">
        <f aca="false">_Engine_R50!L201/12</f>
        <v>0</v>
      </c>
      <c r="FQ12" s="170" t="n">
        <f aca="false">_Engine_R50!L202/12</f>
        <v>0</v>
      </c>
      <c r="FR12" s="170" t="n">
        <f aca="false">_Engine_R50!L203/12</f>
        <v>0</v>
      </c>
      <c r="FS12" s="170" t="n">
        <f aca="false">_Engine_R50!L204/12</f>
        <v>0</v>
      </c>
      <c r="FT12" s="170" t="n">
        <f aca="false">_Engine_R50!L205/12</f>
        <v>0</v>
      </c>
      <c r="FU12" s="170" t="n">
        <f aca="false">_Engine_R50!L206/12</f>
        <v>0</v>
      </c>
      <c r="FV12" s="170" t="n">
        <f aca="false">_Engine_R50!L207/12</f>
        <v>0</v>
      </c>
      <c r="FW12" s="170" t="n">
        <f aca="false">_Engine_R50!L208/12</f>
        <v>0</v>
      </c>
      <c r="FX12" s="170" t="n">
        <f aca="false">_Engine_R50!L209/12</f>
        <v>0</v>
      </c>
      <c r="FY12" s="170" t="n">
        <f aca="false">_Engine_R50!L210/12</f>
        <v>0</v>
      </c>
      <c r="FZ12" s="1"/>
    </row>
    <row r="13" customFormat="false" ht="15" hidden="false" customHeight="true" outlineLevel="0" collapsed="false">
      <c r="A13" s="17" t="s">
        <v>432</v>
      </c>
      <c r="B13" s="170" t="n">
        <f aca="false">_Engine_R50!P31</f>
        <v>0</v>
      </c>
      <c r="C13" s="170" t="n">
        <f aca="false">_Engine_R50!P32</f>
        <v>0</v>
      </c>
      <c r="D13" s="170" t="n">
        <f aca="false">_Engine_R50!P33</f>
        <v>0</v>
      </c>
      <c r="E13" s="170" t="n">
        <f aca="false">_Engine_R50!P34</f>
        <v>2.08333333333333</v>
      </c>
      <c r="F13" s="170" t="n">
        <f aca="false">_Engine_R50!P35</f>
        <v>2.07444725254675</v>
      </c>
      <c r="G13" s="170" t="n">
        <f aca="false">_Engine_R50!P36</f>
        <v>2.0655990737274</v>
      </c>
      <c r="H13" s="170" t="n">
        <f aca="false">_Engine_R50!P37</f>
        <v>2.05678863521132</v>
      </c>
      <c r="I13" s="170" t="n">
        <f aca="false">_Engine_R50!P38</f>
        <v>4.13134910935741</v>
      </c>
      <c r="J13" s="170" t="n">
        <f aca="false">_Engine_R50!P39</f>
        <v>4.10440197972225</v>
      </c>
      <c r="K13" s="170" t="n">
        <f aca="false">_Engine_R50!P40</f>
        <v>4.07765130902831</v>
      </c>
      <c r="L13" s="170" t="n">
        <f aca="false">_Engine_R50!P41</f>
        <v>4.05109554669208</v>
      </c>
      <c r="M13" s="170" t="n">
        <f aca="false">_Engine_R50!P42</f>
        <v>6.10806648830662</v>
      </c>
      <c r="N13" s="46" t="n">
        <f aca="false">_Engine_R50!P43</f>
        <v>6.05387105259086</v>
      </c>
      <c r="O13" s="46" t="n">
        <f aca="false">_Engine_R50!P44</f>
        <v>6.00024293943558</v>
      </c>
      <c r="P13" s="46" t="n">
        <f aca="false">_Engine_R50!P45</f>
        <v>5.94717557773796</v>
      </c>
      <c r="Q13" s="46" t="n">
        <f aca="false">_Engine_R50!P46</f>
        <v>7.97799581035847</v>
      </c>
      <c r="R13" s="46" t="n">
        <f aca="false">_Engine_R50!P47</f>
        <v>7.89800567015628</v>
      </c>
      <c r="S13" s="46" t="n">
        <f aca="false">_Engine_R50!P48</f>
        <v>7.81893403713351</v>
      </c>
      <c r="T13" s="46" t="n">
        <f aca="false">_Engine_R50!P49</f>
        <v>7.74076958538039</v>
      </c>
      <c r="U13" s="46" t="n">
        <f aca="false">_Engine_R50!P50</f>
        <v>7.66350113382123</v>
      </c>
      <c r="V13" s="46" t="n">
        <f aca="false">_Engine_R50!P51</f>
        <v>7.58711764432558</v>
      </c>
      <c r="W13" s="46" t="n">
        <f aca="false">_Engine_R50!P52</f>
        <v>7.51160821984428</v>
      </c>
      <c r="X13" s="46" t="n">
        <f aca="false">_Engine_R50!P53</f>
        <v>7.43696210257009</v>
      </c>
      <c r="Y13" s="46" t="n">
        <f aca="false">_Engine_R50!P54</f>
        <v>7.36316867212258</v>
      </c>
      <c r="Z13" s="170" t="n">
        <f aca="false">_Engine_R50!P55</f>
        <v>7.29021744375695</v>
      </c>
      <c r="AA13" s="170" t="n">
        <f aca="false">_Engine_R50!P56</f>
        <v>7.21809806659651</v>
      </c>
      <c r="AB13" s="170" t="n">
        <f aca="false">_Engine_R50!P57</f>
        <v>7.14680032188842</v>
      </c>
      <c r="AC13" s="170" t="n">
        <f aca="false">_Engine_R50!P58</f>
        <v>7.07631412128243</v>
      </c>
      <c r="AD13" s="170" t="n">
        <f aca="false">_Engine_R50!P59</f>
        <v>7.00662950513231</v>
      </c>
      <c r="AE13" s="170" t="n">
        <f aca="false">_Engine_R50!P60</f>
        <v>6.93773664081972</v>
      </c>
      <c r="AF13" s="170" t="n">
        <f aca="false">_Engine_R50!P61</f>
        <v>6.86962582110008</v>
      </c>
      <c r="AG13" s="170" t="n">
        <f aca="false">_Engine_R50!P62</f>
        <v>8.30228746247033</v>
      </c>
      <c r="AH13" s="170" t="n">
        <f aca="false">_Engine_R50!P63</f>
        <v>8.2293141253918</v>
      </c>
      <c r="AI13" s="170" t="n">
        <f aca="false">_Engine_R50!P64</f>
        <v>8.15712173661607</v>
      </c>
      <c r="AJ13" s="170" t="n">
        <f aca="false">_Engine_R50!P65</f>
        <v>8.08570095788651</v>
      </c>
      <c r="AK13" s="170" t="n">
        <f aca="false">_Engine_R50!P66</f>
        <v>8.01504256886757</v>
      </c>
      <c r="AL13" s="46" t="n">
        <f aca="false">_Engine_R50!P67</f>
        <v>7.94513746561514</v>
      </c>
      <c r="AM13" s="46" t="n">
        <f aca="false">_Engine_R50!P68</f>
        <v>7.87597665906701</v>
      </c>
      <c r="AN13" s="46" t="n">
        <f aca="false">_Engine_R50!P69</f>
        <v>7.80755127355315</v>
      </c>
      <c r="AO13" s="46" t="n">
        <f aca="false">_Engine_R50!P70</f>
        <v>7.73985254532567</v>
      </c>
      <c r="AP13" s="46" t="n">
        <f aca="false">_Engine_R50!P71</f>
        <v>7.67287182110803</v>
      </c>
      <c r="AQ13" s="46" t="n">
        <f aca="false">_Engine_R50!P72</f>
        <v>7.60660055666341</v>
      </c>
      <c r="AR13" s="46" t="n">
        <f aca="false">_Engine_R50!P73</f>
        <v>7.54103031538184</v>
      </c>
      <c r="AS13" s="46" t="n">
        <f aca="false">_Engine_R50!P74</f>
        <v>7.47615276688596</v>
      </c>
      <c r="AT13" s="46" t="n">
        <f aca="false">_Engine_R50!P75</f>
        <v>7.41195968565507</v>
      </c>
      <c r="AU13" s="46" t="n">
        <f aca="false">_Engine_R50!P76</f>
        <v>7.34844294966731</v>
      </c>
      <c r="AV13" s="46" t="n">
        <f aca="false">_Engine_R50!P77</f>
        <v>7.28559453905967</v>
      </c>
      <c r="AW13" s="46" t="n">
        <f aca="false">_Engine_R50!P78</f>
        <v>7.22340653480557</v>
      </c>
      <c r="AX13" s="170" t="n">
        <f aca="false">_Engine_R50!P79</f>
        <v>7.16187111740991</v>
      </c>
      <c r="AY13" s="170" t="n">
        <f aca="false">_Engine_R50!P80</f>
        <v>7.10098056562118</v>
      </c>
      <c r="AZ13" s="170" t="n">
        <f aca="false">_Engine_R50!P81</f>
        <v>7.04072725516056</v>
      </c>
      <c r="BA13" s="170" t="n">
        <f aca="false">_Engine_R50!P82</f>
        <v>6.98110365746767</v>
      </c>
      <c r="BB13" s="170" t="n">
        <f aca="false">_Engine_R50!P83</f>
        <v>6.9221023384628</v>
      </c>
      <c r="BC13" s="170" t="n">
        <f aca="false">_Engine_R50!P84</f>
        <v>6.86371595732541</v>
      </c>
      <c r="BD13" s="170" t="n">
        <f aca="false">_Engine_R50!P85</f>
        <v>6.80593726528869</v>
      </c>
      <c r="BE13" s="170" t="n">
        <f aca="false">_Engine_R50!P86</f>
        <v>6.74875910444993</v>
      </c>
      <c r="BF13" s="170" t="n">
        <f aca="false">_Engine_R50!P87</f>
        <v>6.69217440659646</v>
      </c>
      <c r="BG13" s="170" t="n">
        <f aca="false">_Engine_R50!P88</f>
        <v>6.63617619204712</v>
      </c>
      <c r="BH13" s="170" t="n">
        <f aca="false">_Engine_R50!P89</f>
        <v>6.58075756850882</v>
      </c>
      <c r="BI13" s="170" t="n">
        <f aca="false">_Engine_R50!P90</f>
        <v>6.52591172994816</v>
      </c>
      <c r="BJ13" s="46" t="n">
        <f aca="false">_Engine_R50!P91</f>
        <v>6.47163195547787</v>
      </c>
      <c r="BK13" s="46" t="n">
        <f aca="false">_Engine_R50!P92</f>
        <v>6.41791160825786</v>
      </c>
      <c r="BL13" s="46" t="n">
        <f aca="false">_Engine_R50!P93</f>
        <v>6.36474413441063</v>
      </c>
      <c r="BM13" s="46" t="n">
        <f aca="false">_Engine_R50!P94</f>
        <v>6.31212306195099</v>
      </c>
      <c r="BN13" s="46" t="n">
        <f aca="false">_Engine_R50!P95</f>
        <v>6.26004199972974</v>
      </c>
      <c r="BO13" s="46" t="n">
        <f aca="false">_Engine_R50!P96</f>
        <v>6.20849463639132</v>
      </c>
      <c r="BP13" s="46" t="n">
        <f aca="false">_Engine_R50!P97</f>
        <v>6.15747473934495</v>
      </c>
      <c r="BQ13" s="46" t="n">
        <f aca="false">_Engine_R50!P98</f>
        <v>6.10697615374946</v>
      </c>
      <c r="BR13" s="46" t="n">
        <f aca="false">_Engine_R50!P99</f>
        <v>6.05699280151126</v>
      </c>
      <c r="BS13" s="46" t="n">
        <f aca="false">_Engine_R50!P100</f>
        <v>6.00751868029555</v>
      </c>
      <c r="BT13" s="46" t="n">
        <f aca="false">_Engine_R50!P101</f>
        <v>5.95854786255048</v>
      </c>
      <c r="BU13" s="46" t="n">
        <f aca="false">_Engine_R50!P102</f>
        <v>5.91007449454401</v>
      </c>
      <c r="BV13" s="170" t="n">
        <f aca="false">_Engine_R50!P103</f>
        <v>5.86209279541352</v>
      </c>
      <c r="BW13" s="170" t="n">
        <f aca="false">_Engine_R50!P104</f>
        <v>5.81459705622777</v>
      </c>
      <c r="BX13" s="170" t="n">
        <f aca="false">_Engine_R50!P105</f>
        <v>5.76758163906119</v>
      </c>
      <c r="BY13" s="170" t="n">
        <f aca="false">_Engine_R50!P106</f>
        <v>5.72104097608032</v>
      </c>
      <c r="BZ13" s="170" t="n">
        <f aca="false">_Engine_R50!P107</f>
        <v>5.67496956864213</v>
      </c>
      <c r="CA13" s="170" t="n">
        <f aca="false">_Engine_R50!P108</f>
        <v>5.62936198640427</v>
      </c>
      <c r="CB13" s="170" t="n">
        <f aca="false">_Engine_R50!P109</f>
        <v>5.58421286644683</v>
      </c>
      <c r="CC13" s="170" t="n">
        <f aca="false">_Engine_R50!P110</f>
        <v>5.53951691240571</v>
      </c>
      <c r="CD13" s="170" t="n">
        <f aca="false">_Engine_R50!P111</f>
        <v>5.4952688936173</v>
      </c>
      <c r="CE13" s="170" t="n">
        <f aca="false">_Engine_R50!P112</f>
        <v>5.45146364427433</v>
      </c>
      <c r="CF13" s="170" t="n">
        <f aca="false">_Engine_R50!P113</f>
        <v>5.40809606259276</v>
      </c>
      <c r="CG13" s="170" t="n">
        <f aca="false">_Engine_R50!P114</f>
        <v>5.36516110998962</v>
      </c>
      <c r="CH13" s="46" t="n">
        <f aca="false">_Engine_R50!P115</f>
        <v>5.32265381027161</v>
      </c>
      <c r="CI13" s="46" t="n">
        <f aca="false">_Engine_R50!P116</f>
        <v>5.2805692488342</v>
      </c>
      <c r="CJ13" s="46" t="n">
        <f aca="false">_Engine_R50!P117</f>
        <v>5.23890257187134</v>
      </c>
      <c r="CK13" s="46" t="n">
        <f aca="false">_Engine_R50!P118</f>
        <v>5.19764898559547</v>
      </c>
      <c r="CL13" s="46" t="n">
        <f aca="false">_Engine_R50!P119</f>
        <v>5.15680375546764</v>
      </c>
      <c r="CM13" s="46" t="n">
        <f aca="false">_Engine_R50!P120</f>
        <v>5.11636220543784</v>
      </c>
      <c r="CN13" s="46" t="n">
        <f aca="false">_Engine_R50!P121</f>
        <v>5.07631971719511</v>
      </c>
      <c r="CO13" s="46" t="n">
        <f aca="false">_Engine_R50!P122</f>
        <v>5.03667172942759</v>
      </c>
      <c r="CP13" s="46" t="n">
        <f aca="false">_Engine_R50!P123</f>
        <v>4.99741373709212</v>
      </c>
      <c r="CQ13" s="46" t="n">
        <f aca="false">_Engine_R50!P124</f>
        <v>4.95854129069347</v>
      </c>
      <c r="CR13" s="46" t="n">
        <f aca="false">_Engine_R50!P125</f>
        <v>4.92004999557293</v>
      </c>
      <c r="CS13" s="46" t="n">
        <f aca="false">_Engine_R50!P126</f>
        <v>4.88193551120623</v>
      </c>
      <c r="CT13" s="170" t="n">
        <f aca="false">_Engine_R50!P127</f>
        <v>4.84419355051058</v>
      </c>
      <c r="CU13" s="170" t="n">
        <f aca="false">_Engine_R50!P128</f>
        <v>4.80681987916083</v>
      </c>
      <c r="CV13" s="170" t="n">
        <f aca="false">_Engine_R50!P129</f>
        <v>4.76981031491451</v>
      </c>
      <c r="CW13" s="170" t="n">
        <f aca="false">_Engine_R50!P130</f>
        <v>4.73316072694567</v>
      </c>
      <c r="CX13" s="170" t="n">
        <f aca="false">_Engine_R50!P131</f>
        <v>4.69686703518745</v>
      </c>
      <c r="CY13" s="170" t="n">
        <f aca="false">_Engine_R50!P132</f>
        <v>4.66092520968319</v>
      </c>
      <c r="CZ13" s="170" t="n">
        <f aca="false">_Engine_R50!P133</f>
        <v>4.62533126994608</v>
      </c>
      <c r="DA13" s="170" t="n">
        <f aca="false">_Engine_R50!P134</f>
        <v>4.59008128432705</v>
      </c>
      <c r="DB13" s="170" t="n">
        <f aca="false">_Engine_R50!P135</f>
        <v>4.55517136939103</v>
      </c>
      <c r="DC13" s="170" t="n">
        <f aca="false">_Engine_R50!P136</f>
        <v>4.52059768930124</v>
      </c>
      <c r="DD13" s="170" t="n">
        <f aca="false">_Engine_R50!P137</f>
        <v>4.48635645521157</v>
      </c>
      <c r="DE13" s="170" t="n">
        <f aca="false">_Engine_R50!P138</f>
        <v>4.45244392466685</v>
      </c>
      <c r="DF13" s="46" t="n">
        <f aca="false">_Engine_R50!P139</f>
        <v>4.41885640101099</v>
      </c>
      <c r="DG13" s="46" t="n">
        <f aca="false">_Engine_R50!P140</f>
        <v>4.38559023280276</v>
      </c>
      <c r="DH13" s="46" t="n">
        <f aca="false">_Engine_R50!P141</f>
        <v>4.35264181323922</v>
      </c>
      <c r="DI13" s="46" t="n">
        <f aca="false">_Engine_R50!P142</f>
        <v>4.32000757958669</v>
      </c>
      <c r="DJ13" s="46" t="n">
        <f aca="false">_Engine_R50!P143</f>
        <v>4.28768401261907</v>
      </c>
      <c r="DK13" s="46" t="n">
        <f aca="false">_Engine_R50!P144</f>
        <v>4.25566763606356</v>
      </c>
      <c r="DL13" s="46" t="n">
        <f aca="false">_Engine_R50!P145</f>
        <v>4.2239550160535</v>
      </c>
      <c r="DM13" s="46" t="n">
        <f aca="false">_Engine_R50!P146</f>
        <v>4.19254276058841</v>
      </c>
      <c r="DN13" s="46" t="n">
        <f aca="false">_Engine_R50!P147</f>
        <v>4.16142751900104</v>
      </c>
      <c r="DO13" s="46" t="n">
        <f aca="false">_Engine_R50!P148</f>
        <v>4.13060598143131</v>
      </c>
      <c r="DP13" s="46" t="n">
        <f aca="false">_Engine_R50!P149</f>
        <v>4.10007487830722</v>
      </c>
      <c r="DQ13" s="46" t="n">
        <f aca="false">_Engine_R50!P150</f>
        <v>4.06983097983235</v>
      </c>
      <c r="DR13" s="170" t="n">
        <f aca="false">_Engine_R50!P151</f>
        <v>4.03987109548016</v>
      </c>
      <c r="DS13" s="170" t="n">
        <f aca="false">_Engine_R50!P152</f>
        <v>4.01019207349479</v>
      </c>
      <c r="DT13" s="170" t="n">
        <f aca="false">_Engine_R50!P153</f>
        <v>3.98079080039841</v>
      </c>
      <c r="DU13" s="170" t="n">
        <f aca="false">_Engine_R50!P154</f>
        <v>3.95166420050494</v>
      </c>
      <c r="DV13" s="170" t="n">
        <f aca="false">_Engine_R50!P155</f>
        <v>3.92280923544008</v>
      </c>
      <c r="DW13" s="170" t="n">
        <f aca="false">_Engine_R50!P156</f>
        <v>3.89422290366763</v>
      </c>
      <c r="DX13" s="170" t="n">
        <f aca="false">_Engine_R50!P157</f>
        <v>3.86590224002191</v>
      </c>
      <c r="DY13" s="170" t="n">
        <f aca="false">_Engine_R50!P158</f>
        <v>3.8378443152463</v>
      </c>
      <c r="DZ13" s="170" t="n">
        <f aca="false">_Engine_R50!P159</f>
        <v>3.81004623553776</v>
      </c>
      <c r="EA13" s="170" t="n">
        <f aca="false">_Engine_R50!P160</f>
        <v>3.78250514209726</v>
      </c>
      <c r="EB13" s="170" t="n">
        <f aca="false">_Engine_R50!P161</f>
        <v>3.75521821068605</v>
      </c>
      <c r="EC13" s="170" t="n">
        <f aca="false">_Engine_R50!P162</f>
        <v>3.72818265118769</v>
      </c>
      <c r="ED13" s="46" t="n">
        <f aca="false">_Engine_R50!P163</f>
        <v>3.7013957071758</v>
      </c>
      <c r="EE13" s="46" t="n">
        <f aca="false">_Engine_R50!P164</f>
        <v>3.67485465548736</v>
      </c>
      <c r="EF13" s="46" t="n">
        <f aca="false">_Engine_R50!P165</f>
        <v>3.64855680580163</v>
      </c>
      <c r="EG13" s="46" t="n">
        <f aca="false">_Engine_R50!P166</f>
        <v>3.62249950022443</v>
      </c>
      <c r="EH13" s="46" t="n">
        <f aca="false">_Engine_R50!P167</f>
        <v>3.5966801128779</v>
      </c>
      <c r="EI13" s="46" t="n">
        <f aca="false">_Engine_R50!P168</f>
        <v>3.57109604949555</v>
      </c>
      <c r="EJ13" s="46" t="n">
        <f aca="false">_Engine_R50!P169</f>
        <v>3.54574474702258</v>
      </c>
      <c r="EK13" s="46" t="n">
        <f aca="false">_Engine_R50!P170</f>
        <v>3.52062367322132</v>
      </c>
      <c r="EL13" s="46" t="n">
        <f aca="false">_Engine_R50!P171</f>
        <v>3.49573032628188</v>
      </c>
      <c r="EM13" s="46" t="n">
        <f aca="false">_Engine_R50!P172</f>
        <v>3.47106223443778</v>
      </c>
      <c r="EN13" s="46" t="n">
        <f aca="false">_Engine_R50!P173</f>
        <v>3.44661695558655</v>
      </c>
      <c r="EO13" s="46" t="n">
        <f aca="false">_Engine_R50!P174</f>
        <v>3.42239207691536</v>
      </c>
      <c r="EP13" s="170" t="n">
        <f aca="false">_Engine_R50!P175</f>
        <v>3.39838521453131</v>
      </c>
      <c r="EQ13" s="170" t="n">
        <f aca="false">_Engine_R50!P176</f>
        <v>3.37459401309669</v>
      </c>
      <c r="ER13" s="170" t="n">
        <f aca="false">_Engine_R50!P177</f>
        <v>3.35101614546886</v>
      </c>
      <c r="ES13" s="170" t="n">
        <f aca="false">_Engine_R50!P178</f>
        <v>3.32764931234484</v>
      </c>
      <c r="ET13" s="170" t="n">
        <f aca="false">_Engine_R50!P179</f>
        <v>3.30449124191044</v>
      </c>
      <c r="EU13" s="170" t="n">
        <f aca="false">_Engine_R50!P180</f>
        <v>3.28153968949402</v>
      </c>
      <c r="EV13" s="170" t="n">
        <f aca="false">_Engine_R50!P181</f>
        <v>3.25879243722467</v>
      </c>
      <c r="EW13" s="170" t="n">
        <f aca="false">_Engine_R50!P182</f>
        <v>3.2362472936948</v>
      </c>
      <c r="EX13" s="170" t="n">
        <f aca="false">_Engine_R50!P183</f>
        <v>3.21390209362716</v>
      </c>
      <c r="EY13" s="170" t="n">
        <f aca="false">_Engine_R50!P184</f>
        <v>3.19175469754609</v>
      </c>
      <c r="EZ13" s="170" t="n">
        <f aca="false">_Engine_R50!P185</f>
        <v>3.16980299145309</v>
      </c>
      <c r="FA13" s="170" t="n">
        <f aca="false">_Engine_R50!P186</f>
        <v>3.14804488650652</v>
      </c>
      <c r="FB13" s="46" t="n">
        <f aca="false">_Engine_R50!P187</f>
        <v>3.12647831870549</v>
      </c>
      <c r="FC13" s="46" t="n">
        <f aca="false">_Engine_R50!P188</f>
        <v>3.10510124857782</v>
      </c>
      <c r="FD13" s="46" t="n">
        <f aca="false">_Engine_R50!P189</f>
        <v>3.08391166087201</v>
      </c>
      <c r="FE13" s="46" t="n">
        <f aca="false">_Engine_R50!P190</f>
        <v>3.06290756425322</v>
      </c>
      <c r="FF13" s="46" t="n">
        <f aca="false">_Engine_R50!P191</f>
        <v>3.04208699100316</v>
      </c>
      <c r="FG13" s="46" t="n">
        <f aca="false">_Engine_R50!P192</f>
        <v>3.02144799672385</v>
      </c>
      <c r="FH13" s="46" t="n">
        <f aca="false">_Engine_R50!P193</f>
        <v>3.00098866004522</v>
      </c>
      <c r="FI13" s="46" t="n">
        <f aca="false">_Engine_R50!P194</f>
        <v>2.98070708233646</v>
      </c>
      <c r="FJ13" s="46" t="n">
        <f aca="false">_Engine_R50!P195</f>
        <v>2.96060138742114</v>
      </c>
      <c r="FK13" s="46" t="n">
        <f aca="false">_Engine_R50!P196</f>
        <v>2.94066972129594</v>
      </c>
      <c r="FL13" s="46" t="n">
        <f aca="false">_Engine_R50!P197</f>
        <v>2.92091025185307</v>
      </c>
      <c r="FM13" s="46" t="n">
        <f aca="false">_Engine_R50!P198</f>
        <v>2.90132116860622</v>
      </c>
      <c r="FN13" s="170" t="n">
        <f aca="false">_Engine_R50!P199</f>
        <v>2.88190068242008</v>
      </c>
      <c r="FO13" s="170" t="n">
        <f aca="false">_Engine_R50!P200</f>
        <v>2.86264702524334</v>
      </c>
      <c r="FP13" s="170" t="n">
        <f aca="false">_Engine_R50!P201</f>
        <v>2.8435584498451</v>
      </c>
      <c r="FQ13" s="170" t="n">
        <f aca="false">_Engine_R50!P202</f>
        <v>2.82463322955471</v>
      </c>
      <c r="FR13" s="170" t="n">
        <f aca="false">_Engine_R50!P203</f>
        <v>2.80586965800496</v>
      </c>
      <c r="FS13" s="170" t="n">
        <f aca="false">_Engine_R50!P204</f>
        <v>2.78726604887855</v>
      </c>
      <c r="FT13" s="170" t="n">
        <f aca="false">_Engine_R50!P205</f>
        <v>2.76882073565786</v>
      </c>
      <c r="FU13" s="170" t="n">
        <f aca="false">_Engine_R50!P206</f>
        <v>2.7505320713779</v>
      </c>
      <c r="FV13" s="170" t="n">
        <f aca="false">_Engine_R50!P207</f>
        <v>2.7323984283825</v>
      </c>
      <c r="FW13" s="170" t="n">
        <f aca="false">_Engine_R50!P208</f>
        <v>2.71441819808355</v>
      </c>
      <c r="FX13" s="170" t="n">
        <f aca="false">_Engine_R50!P209</f>
        <v>2.69658979072343</v>
      </c>
      <c r="FY13" s="170" t="n">
        <f aca="false">_Engine_R50!P210</f>
        <v>2.67891163514045</v>
      </c>
      <c r="FZ13" s="1"/>
    </row>
    <row r="14" customFormat="false" ht="15" hidden="false" customHeight="true" outlineLevel="0" collapsed="false">
      <c r="A14" s="17"/>
      <c r="B14" s="46" t="n">
        <f aca="false">_Engine_R50!Q31</f>
        <v>0</v>
      </c>
      <c r="C14" s="46" t="n">
        <f aca="false">_Engine_R50!Q32</f>
        <v>0</v>
      </c>
      <c r="D14" s="46" t="n">
        <f aca="false">_Engine_R50!Q33</f>
        <v>0</v>
      </c>
      <c r="E14" s="46" t="n">
        <f aca="false">_Engine_R50!Q34</f>
        <v>0.208333333333333</v>
      </c>
      <c r="F14" s="46" t="n">
        <f aca="false">_Engine_R50!Q35</f>
        <v>0.207444725254675</v>
      </c>
      <c r="G14" s="46" t="n">
        <f aca="false">_Engine_R50!Q36</f>
        <v>0.20655990737274</v>
      </c>
      <c r="H14" s="46" t="n">
        <f aca="false">_Engine_R50!Q37</f>
        <v>0.205678863521132</v>
      </c>
      <c r="I14" s="46" t="n">
        <f aca="false">_Engine_R50!Q38</f>
        <v>0.413134910935741</v>
      </c>
      <c r="J14" s="46" t="n">
        <f aca="false">_Engine_R50!Q39</f>
        <v>0.410440197972225</v>
      </c>
      <c r="K14" s="46" t="n">
        <f aca="false">_Engine_R50!Q40</f>
        <v>0.407765130902831</v>
      </c>
      <c r="L14" s="46" t="n">
        <f aca="false">_Engine_R50!Q41</f>
        <v>0.405109554669208</v>
      </c>
      <c r="M14" s="46" t="n">
        <f aca="false">_Engine_R50!Q42</f>
        <v>0.610806648830662</v>
      </c>
      <c r="N14" s="46" t="n">
        <f aca="false">_Engine_R50!Q43</f>
        <v>0.605387105259086</v>
      </c>
      <c r="O14" s="46" t="n">
        <f aca="false">_Engine_R50!Q44</f>
        <v>0.600024293943558</v>
      </c>
      <c r="P14" s="46" t="n">
        <f aca="false">_Engine_R50!Q45</f>
        <v>0.594717557773796</v>
      </c>
      <c r="Q14" s="46" t="n">
        <f aca="false">_Engine_R50!Q46</f>
        <v>0.797799581035848</v>
      </c>
      <c r="R14" s="46" t="n">
        <f aca="false">_Engine_R50!Q47</f>
        <v>0.789800567015628</v>
      </c>
      <c r="S14" s="46" t="n">
        <f aca="false">_Engine_R50!Q48</f>
        <v>0.781893403713351</v>
      </c>
      <c r="T14" s="46" t="n">
        <f aca="false">_Engine_R50!Q49</f>
        <v>0.774076958538039</v>
      </c>
      <c r="U14" s="46" t="n">
        <f aca="false">_Engine_R50!Q50</f>
        <v>0.766350113382123</v>
      </c>
      <c r="V14" s="46" t="n">
        <f aca="false">_Engine_R50!Q51</f>
        <v>0.758711764432558</v>
      </c>
      <c r="W14" s="46" t="n">
        <f aca="false">_Engine_R50!Q52</f>
        <v>0.751160821984429</v>
      </c>
      <c r="X14" s="46" t="n">
        <f aca="false">_Engine_R50!Q53</f>
        <v>0.743696210257009</v>
      </c>
      <c r="Y14" s="46" t="n">
        <f aca="false">_Engine_R50!Q54</f>
        <v>0.736316867212258</v>
      </c>
      <c r="Z14" s="46" t="n">
        <f aca="false">_Engine_R50!Q55</f>
        <v>0.729021744375695</v>
      </c>
      <c r="AA14" s="46" t="n">
        <f aca="false">_Engine_R50!Q56</f>
        <v>0.721809806659651</v>
      </c>
      <c r="AB14" s="46" t="n">
        <f aca="false">_Engine_R50!Q57</f>
        <v>0.714680032188842</v>
      </c>
      <c r="AC14" s="46" t="n">
        <f aca="false">_Engine_R50!Q58</f>
        <v>0.707631412128243</v>
      </c>
      <c r="AD14" s="46" t="n">
        <f aca="false">_Engine_R50!Q59</f>
        <v>0.700662950513231</v>
      </c>
      <c r="AE14" s="46" t="n">
        <f aca="false">_Engine_R50!Q60</f>
        <v>0.693773664081972</v>
      </c>
      <c r="AF14" s="46" t="n">
        <f aca="false">_Engine_R50!Q61</f>
        <v>0.686962582110008</v>
      </c>
      <c r="AG14" s="46" t="n">
        <f aca="false">_Engine_R50!Q62</f>
        <v>0.830228746247034</v>
      </c>
      <c r="AH14" s="46" t="n">
        <f aca="false">_Engine_R50!Q63</f>
        <v>0.82293141253918</v>
      </c>
      <c r="AI14" s="46" t="n">
        <f aca="false">_Engine_R50!Q64</f>
        <v>0.815712173661607</v>
      </c>
      <c r="AJ14" s="46" t="n">
        <f aca="false">_Engine_R50!Q65</f>
        <v>0.808570095788651</v>
      </c>
      <c r="AK14" s="46" t="n">
        <f aca="false">_Engine_R50!Q66</f>
        <v>0.801504256886757</v>
      </c>
      <c r="AL14" s="46" t="n">
        <f aca="false">_Engine_R50!Q67</f>
        <v>0.794513746561514</v>
      </c>
      <c r="AM14" s="46" t="n">
        <f aca="false">_Engine_R50!Q68</f>
        <v>0.787597665906701</v>
      </c>
      <c r="AN14" s="46" t="n">
        <f aca="false">_Engine_R50!Q69</f>
        <v>0.780755127355315</v>
      </c>
      <c r="AO14" s="46" t="n">
        <f aca="false">_Engine_R50!Q70</f>
        <v>0.773985254532567</v>
      </c>
      <c r="AP14" s="46" t="n">
        <f aca="false">_Engine_R50!Q71</f>
        <v>0.767287182110803</v>
      </c>
      <c r="AQ14" s="46" t="n">
        <f aca="false">_Engine_R50!Q72</f>
        <v>0.760660055666341</v>
      </c>
      <c r="AR14" s="46" t="n">
        <f aca="false">_Engine_R50!Q73</f>
        <v>0.754103031538184</v>
      </c>
      <c r="AS14" s="46" t="n">
        <f aca="false">_Engine_R50!Q74</f>
        <v>0.747615276688596</v>
      </c>
      <c r="AT14" s="46" t="n">
        <f aca="false">_Engine_R50!Q75</f>
        <v>0.741195968565507</v>
      </c>
      <c r="AU14" s="46" t="n">
        <f aca="false">_Engine_R50!Q76</f>
        <v>0.734844294966731</v>
      </c>
      <c r="AV14" s="46" t="n">
        <f aca="false">_Engine_R50!Q77</f>
        <v>0.728559453905967</v>
      </c>
      <c r="AW14" s="46" t="n">
        <f aca="false">_Engine_R50!Q78</f>
        <v>0.722340653480557</v>
      </c>
      <c r="AX14" s="46" t="n">
        <f aca="false">_Engine_R50!Q79</f>
        <v>0.716187111740991</v>
      </c>
      <c r="AY14" s="46" t="n">
        <f aca="false">_Engine_R50!Q80</f>
        <v>0.710098056562118</v>
      </c>
      <c r="AZ14" s="46" t="n">
        <f aca="false">_Engine_R50!Q81</f>
        <v>0.704072725516057</v>
      </c>
      <c r="BA14" s="46" t="n">
        <f aca="false">_Engine_R50!Q82</f>
        <v>0.698110365746767</v>
      </c>
      <c r="BB14" s="46" t="n">
        <f aca="false">_Engine_R50!Q83</f>
        <v>0.69221023384628</v>
      </c>
      <c r="BC14" s="46" t="n">
        <f aca="false">_Engine_R50!Q84</f>
        <v>0.686371595732541</v>
      </c>
      <c r="BD14" s="46" t="n">
        <f aca="false">_Engine_R50!Q85</f>
        <v>0.680593726528869</v>
      </c>
      <c r="BE14" s="46" t="n">
        <f aca="false">_Engine_R50!Q86</f>
        <v>0.674875910444993</v>
      </c>
      <c r="BF14" s="46" t="n">
        <f aca="false">_Engine_R50!Q87</f>
        <v>0.669217440659646</v>
      </c>
      <c r="BG14" s="46" t="n">
        <f aca="false">_Engine_R50!Q88</f>
        <v>0.663617619204712</v>
      </c>
      <c r="BH14" s="46" t="n">
        <f aca="false">_Engine_R50!Q89</f>
        <v>0.658075756850882</v>
      </c>
      <c r="BI14" s="46" t="n">
        <f aca="false">_Engine_R50!Q90</f>
        <v>0.652591172994816</v>
      </c>
      <c r="BJ14" s="46" t="n">
        <f aca="false">_Engine_R50!Q91</f>
        <v>0.647163195547787</v>
      </c>
      <c r="BK14" s="46" t="n">
        <f aca="false">_Engine_R50!Q92</f>
        <v>0.641791160825786</v>
      </c>
      <c r="BL14" s="46" t="n">
        <f aca="false">_Engine_R50!Q93</f>
        <v>0.636474413441063</v>
      </c>
      <c r="BM14" s="46" t="n">
        <f aca="false">_Engine_R50!Q94</f>
        <v>0.631212306195099</v>
      </c>
      <c r="BN14" s="46" t="n">
        <f aca="false">_Engine_R50!Q95</f>
        <v>0.626004199972975</v>
      </c>
      <c r="BO14" s="46" t="n">
        <f aca="false">_Engine_R50!Q96</f>
        <v>0.620849463639132</v>
      </c>
      <c r="BP14" s="46" t="n">
        <f aca="false">_Engine_R50!Q97</f>
        <v>0.615747473934495</v>
      </c>
      <c r="BQ14" s="46" t="n">
        <f aca="false">_Engine_R50!Q98</f>
        <v>0.610697615374946</v>
      </c>
      <c r="BR14" s="46" t="n">
        <f aca="false">_Engine_R50!Q99</f>
        <v>0.605699280151126</v>
      </c>
      <c r="BS14" s="46" t="n">
        <f aca="false">_Engine_R50!Q100</f>
        <v>0.600751868029556</v>
      </c>
      <c r="BT14" s="46" t="n">
        <f aca="false">_Engine_R50!Q101</f>
        <v>0.595854786255048</v>
      </c>
      <c r="BU14" s="46" t="n">
        <f aca="false">_Engine_R50!Q102</f>
        <v>0.591007449454401</v>
      </c>
      <c r="BV14" s="46" t="n">
        <f aca="false">_Engine_R50!Q103</f>
        <v>0.586209279541352</v>
      </c>
      <c r="BW14" s="46" t="n">
        <f aca="false">_Engine_R50!Q104</f>
        <v>0.581459705622777</v>
      </c>
      <c r="BX14" s="46" t="n">
        <f aca="false">_Engine_R50!Q105</f>
        <v>0.576758163906119</v>
      </c>
      <c r="BY14" s="46" t="n">
        <f aca="false">_Engine_R50!Q106</f>
        <v>0.572104097608032</v>
      </c>
      <c r="BZ14" s="46" t="n">
        <f aca="false">_Engine_R50!Q107</f>
        <v>0.567496956864213</v>
      </c>
      <c r="CA14" s="46" t="n">
        <f aca="false">_Engine_R50!Q108</f>
        <v>0.562936198640427</v>
      </c>
      <c r="CB14" s="46" t="n">
        <f aca="false">_Engine_R50!Q109</f>
        <v>0.558421286644683</v>
      </c>
      <c r="CC14" s="46" t="n">
        <f aca="false">_Engine_R50!Q110</f>
        <v>0.553951691240571</v>
      </c>
      <c r="CD14" s="46" t="n">
        <f aca="false">_Engine_R50!Q111</f>
        <v>0.54952688936173</v>
      </c>
      <c r="CE14" s="46" t="n">
        <f aca="false">_Engine_R50!Q112</f>
        <v>0.545146364427433</v>
      </c>
      <c r="CF14" s="46" t="n">
        <f aca="false">_Engine_R50!Q113</f>
        <v>0.540809606259276</v>
      </c>
      <c r="CG14" s="46" t="n">
        <f aca="false">_Engine_R50!Q114</f>
        <v>0.536516110998963</v>
      </c>
      <c r="CH14" s="46" t="n">
        <f aca="false">_Engine_R50!Q115</f>
        <v>0.532265381027161</v>
      </c>
      <c r="CI14" s="46" t="n">
        <f aca="false">_Engine_R50!Q116</f>
        <v>0.52805692488342</v>
      </c>
      <c r="CJ14" s="46" t="n">
        <f aca="false">_Engine_R50!Q117</f>
        <v>0.523890257187134</v>
      </c>
      <c r="CK14" s="46" t="n">
        <f aca="false">_Engine_R50!Q118</f>
        <v>0.519764898559547</v>
      </c>
      <c r="CL14" s="46" t="n">
        <f aca="false">_Engine_R50!Q119</f>
        <v>0.515680375546764</v>
      </c>
      <c r="CM14" s="46" t="n">
        <f aca="false">_Engine_R50!Q120</f>
        <v>0.511636220543784</v>
      </c>
      <c r="CN14" s="46" t="n">
        <f aca="false">_Engine_R50!Q121</f>
        <v>0.507631971719511</v>
      </c>
      <c r="CO14" s="46" t="n">
        <f aca="false">_Engine_R50!Q122</f>
        <v>0.503667172942759</v>
      </c>
      <c r="CP14" s="46" t="n">
        <f aca="false">_Engine_R50!Q123</f>
        <v>0.499741373709212</v>
      </c>
      <c r="CQ14" s="46" t="n">
        <f aca="false">_Engine_R50!Q124</f>
        <v>0.495854129069347</v>
      </c>
      <c r="CR14" s="46" t="n">
        <f aca="false">_Engine_R50!Q125</f>
        <v>0.492004999557293</v>
      </c>
      <c r="CS14" s="46" t="n">
        <f aca="false">_Engine_R50!Q126</f>
        <v>0.488193551120623</v>
      </c>
      <c r="CT14" s="46" t="n">
        <f aca="false">_Engine_R50!Q127</f>
        <v>0.484419355051058</v>
      </c>
      <c r="CU14" s="46" t="n">
        <f aca="false">_Engine_R50!Q128</f>
        <v>0.480681987916083</v>
      </c>
      <c r="CV14" s="46" t="n">
        <f aca="false">_Engine_R50!Q129</f>
        <v>0.476981031491451</v>
      </c>
      <c r="CW14" s="46" t="n">
        <f aca="false">_Engine_R50!Q130</f>
        <v>0.473316072694567</v>
      </c>
      <c r="CX14" s="46" t="n">
        <f aca="false">_Engine_R50!Q131</f>
        <v>0.469686703518745</v>
      </c>
      <c r="CY14" s="46" t="n">
        <f aca="false">_Engine_R50!Q132</f>
        <v>0.466092520968319</v>
      </c>
      <c r="CZ14" s="46" t="n">
        <f aca="false">_Engine_R50!Q133</f>
        <v>0.462533126994608</v>
      </c>
      <c r="DA14" s="46" t="n">
        <f aca="false">_Engine_R50!Q134</f>
        <v>0.459008128432705</v>
      </c>
      <c r="DB14" s="46" t="n">
        <f aca="false">_Engine_R50!Q135</f>
        <v>0.455517136939103</v>
      </c>
      <c r="DC14" s="46" t="n">
        <f aca="false">_Engine_R50!Q136</f>
        <v>0.452059768930124</v>
      </c>
      <c r="DD14" s="46" t="n">
        <f aca="false">_Engine_R50!Q137</f>
        <v>0.448635645521157</v>
      </c>
      <c r="DE14" s="46" t="n">
        <f aca="false">_Engine_R50!Q138</f>
        <v>0.445244392466685</v>
      </c>
      <c r="DF14" s="46" t="n">
        <f aca="false">_Engine_R50!Q139</f>
        <v>0.441885640101099</v>
      </c>
      <c r="DG14" s="46" t="n">
        <f aca="false">_Engine_R50!Q140</f>
        <v>0.438559023280276</v>
      </c>
      <c r="DH14" s="46" t="n">
        <f aca="false">_Engine_R50!Q141</f>
        <v>0.435264181323922</v>
      </c>
      <c r="DI14" s="46" t="n">
        <f aca="false">_Engine_R50!Q142</f>
        <v>0.432000757958669</v>
      </c>
      <c r="DJ14" s="46" t="n">
        <f aca="false">_Engine_R50!Q143</f>
        <v>0.428768401261907</v>
      </c>
      <c r="DK14" s="46" t="n">
        <f aca="false">_Engine_R50!Q144</f>
        <v>0.425566763606357</v>
      </c>
      <c r="DL14" s="46" t="n">
        <f aca="false">_Engine_R50!Q145</f>
        <v>0.42239550160535</v>
      </c>
      <c r="DM14" s="46" t="n">
        <f aca="false">_Engine_R50!Q146</f>
        <v>0.419254276058841</v>
      </c>
      <c r="DN14" s="46" t="n">
        <f aca="false">_Engine_R50!Q147</f>
        <v>0.416142751900104</v>
      </c>
      <c r="DO14" s="46" t="n">
        <f aca="false">_Engine_R50!Q148</f>
        <v>0.413060598143131</v>
      </c>
      <c r="DP14" s="46" t="n">
        <f aca="false">_Engine_R50!Q149</f>
        <v>0.410007487830722</v>
      </c>
      <c r="DQ14" s="46" t="n">
        <f aca="false">_Engine_R50!Q150</f>
        <v>0.406983097983235</v>
      </c>
      <c r="DR14" s="46" t="n">
        <f aca="false">_Engine_R50!Q151</f>
        <v>0.403987109548016</v>
      </c>
      <c r="DS14" s="46" t="n">
        <f aca="false">_Engine_R50!Q152</f>
        <v>0.401019207349479</v>
      </c>
      <c r="DT14" s="46" t="n">
        <f aca="false">_Engine_R50!Q153</f>
        <v>0.398079080039842</v>
      </c>
      <c r="DU14" s="46" t="n">
        <f aca="false">_Engine_R50!Q154</f>
        <v>0.395166420050494</v>
      </c>
      <c r="DV14" s="46" t="n">
        <f aca="false">_Engine_R50!Q155</f>
        <v>0.392280923544008</v>
      </c>
      <c r="DW14" s="46" t="n">
        <f aca="false">_Engine_R50!Q156</f>
        <v>0.389422290366763</v>
      </c>
      <c r="DX14" s="46" t="n">
        <f aca="false">_Engine_R50!Q157</f>
        <v>0.386590224002191</v>
      </c>
      <c r="DY14" s="46" t="n">
        <f aca="false">_Engine_R50!Q158</f>
        <v>0.38378443152463</v>
      </c>
      <c r="DZ14" s="46" t="n">
        <f aca="false">_Engine_R50!Q159</f>
        <v>0.381004623553776</v>
      </c>
      <c r="EA14" s="46" t="n">
        <f aca="false">_Engine_R50!Q160</f>
        <v>0.378250514209726</v>
      </c>
      <c r="EB14" s="46" t="n">
        <f aca="false">_Engine_R50!Q161</f>
        <v>0.375521821068605</v>
      </c>
      <c r="EC14" s="46" t="n">
        <f aca="false">_Engine_R50!Q162</f>
        <v>0.372818265118769</v>
      </c>
      <c r="ED14" s="46" t="n">
        <f aca="false">_Engine_R50!Q163</f>
        <v>0.37013957071758</v>
      </c>
      <c r="EE14" s="46" t="n">
        <f aca="false">_Engine_R50!Q164</f>
        <v>0.367485465548736</v>
      </c>
      <c r="EF14" s="46" t="n">
        <f aca="false">_Engine_R50!Q165</f>
        <v>0.364855680580163</v>
      </c>
      <c r="EG14" s="46" t="n">
        <f aca="false">_Engine_R50!Q166</f>
        <v>0.362249950022443</v>
      </c>
      <c r="EH14" s="46" t="n">
        <f aca="false">_Engine_R50!Q167</f>
        <v>0.35966801128779</v>
      </c>
      <c r="EI14" s="46" t="n">
        <f aca="false">_Engine_R50!Q168</f>
        <v>0.357109604949555</v>
      </c>
      <c r="EJ14" s="46" t="n">
        <f aca="false">_Engine_R50!Q169</f>
        <v>0.354574474702258</v>
      </c>
      <c r="EK14" s="46" t="n">
        <f aca="false">_Engine_R50!Q170</f>
        <v>0.352062367322132</v>
      </c>
      <c r="EL14" s="46" t="n">
        <f aca="false">_Engine_R50!Q171</f>
        <v>0.349573032628188</v>
      </c>
      <c r="EM14" s="46" t="n">
        <f aca="false">_Engine_R50!Q172</f>
        <v>0.347106223443778</v>
      </c>
      <c r="EN14" s="46" t="n">
        <f aca="false">_Engine_R50!Q173</f>
        <v>0.344661695558655</v>
      </c>
      <c r="EO14" s="46" t="n">
        <f aca="false">_Engine_R50!Q174</f>
        <v>0.342239207691536</v>
      </c>
      <c r="EP14" s="46" t="n">
        <f aca="false">_Engine_R50!Q175</f>
        <v>0.339838521453131</v>
      </c>
      <c r="EQ14" s="46" t="n">
        <f aca="false">_Engine_R50!Q176</f>
        <v>0.337459401309669</v>
      </c>
      <c r="ER14" s="46" t="n">
        <f aca="false">_Engine_R50!Q177</f>
        <v>0.335101614546886</v>
      </c>
      <c r="ES14" s="46" t="n">
        <f aca="false">_Engine_R50!Q178</f>
        <v>0.332764931234484</v>
      </c>
      <c r="ET14" s="46" t="n">
        <f aca="false">_Engine_R50!Q179</f>
        <v>0.330449124191044</v>
      </c>
      <c r="EU14" s="46" t="n">
        <f aca="false">_Engine_R50!Q180</f>
        <v>0.328153968949402</v>
      </c>
      <c r="EV14" s="46" t="n">
        <f aca="false">_Engine_R50!Q181</f>
        <v>0.325879243722467</v>
      </c>
      <c r="EW14" s="46" t="n">
        <f aca="false">_Engine_R50!Q182</f>
        <v>0.32362472936948</v>
      </c>
      <c r="EX14" s="46" t="n">
        <f aca="false">_Engine_R50!Q183</f>
        <v>0.321390209362716</v>
      </c>
      <c r="EY14" s="46" t="n">
        <f aca="false">_Engine_R50!Q184</f>
        <v>0.319175469754609</v>
      </c>
      <c r="EZ14" s="46" t="n">
        <f aca="false">_Engine_R50!Q185</f>
        <v>0.316980299145309</v>
      </c>
      <c r="FA14" s="46" t="n">
        <f aca="false">_Engine_R50!Q186</f>
        <v>0.314804488650652</v>
      </c>
      <c r="FB14" s="46" t="n">
        <f aca="false">_Engine_R50!Q187</f>
        <v>0.312647831870549</v>
      </c>
      <c r="FC14" s="46" t="n">
        <f aca="false">_Engine_R50!Q188</f>
        <v>0.310510124857782</v>
      </c>
      <c r="FD14" s="46" t="n">
        <f aca="false">_Engine_R50!Q189</f>
        <v>0.308391166087201</v>
      </c>
      <c r="FE14" s="46" t="n">
        <f aca="false">_Engine_R50!Q190</f>
        <v>0.306290756425322</v>
      </c>
      <c r="FF14" s="46" t="n">
        <f aca="false">_Engine_R50!Q191</f>
        <v>0.304208699100316</v>
      </c>
      <c r="FG14" s="46" t="n">
        <f aca="false">_Engine_R50!Q192</f>
        <v>0.302144799672385</v>
      </c>
      <c r="FH14" s="46" t="n">
        <f aca="false">_Engine_R50!Q193</f>
        <v>0.300098866004522</v>
      </c>
      <c r="FI14" s="46" t="n">
        <f aca="false">_Engine_R50!Q194</f>
        <v>0.298070708233646</v>
      </c>
      <c r="FJ14" s="46" t="n">
        <f aca="false">_Engine_R50!Q195</f>
        <v>0.296060138742114</v>
      </c>
      <c r="FK14" s="46" t="n">
        <f aca="false">_Engine_R50!Q196</f>
        <v>0.294066972129594</v>
      </c>
      <c r="FL14" s="46" t="n">
        <f aca="false">_Engine_R50!Q197</f>
        <v>0.292091025185307</v>
      </c>
      <c r="FM14" s="46" t="n">
        <f aca="false">_Engine_R50!Q198</f>
        <v>0.290132116860622</v>
      </c>
      <c r="FN14" s="46" t="n">
        <f aca="false">_Engine_R50!Q199</f>
        <v>0.288190068242008</v>
      </c>
      <c r="FO14" s="46" t="n">
        <f aca="false">_Engine_R50!Q200</f>
        <v>0.286264702524334</v>
      </c>
      <c r="FP14" s="46" t="n">
        <f aca="false">_Engine_R50!Q201</f>
        <v>0.28435584498451</v>
      </c>
      <c r="FQ14" s="46" t="n">
        <f aca="false">_Engine_R50!Q202</f>
        <v>0.282463322955471</v>
      </c>
      <c r="FR14" s="46" t="n">
        <f aca="false">_Engine_R50!Q203</f>
        <v>0.280586965800496</v>
      </c>
      <c r="FS14" s="46" t="n">
        <f aca="false">_Engine_R50!Q204</f>
        <v>0.278726604887855</v>
      </c>
      <c r="FT14" s="46" t="n">
        <f aca="false">_Engine_R50!Q205</f>
        <v>0.276882073565786</v>
      </c>
      <c r="FU14" s="46" t="n">
        <f aca="false">_Engine_R50!Q206</f>
        <v>0.27505320713779</v>
      </c>
      <c r="FV14" s="46" t="n">
        <f aca="false">_Engine_R50!Q207</f>
        <v>0.27323984283825</v>
      </c>
      <c r="FW14" s="46" t="n">
        <f aca="false">_Engine_R50!Q208</f>
        <v>0.271441819808355</v>
      </c>
      <c r="FX14" s="46" t="n">
        <f aca="false">_Engine_R50!Q209</f>
        <v>0.269658979072343</v>
      </c>
      <c r="FY14" s="46" t="n">
        <f aca="false">_Engine_R50!Q210</f>
        <v>0.267891163514045</v>
      </c>
      <c r="FZ14" s="1"/>
    </row>
    <row r="15" customFormat="false" ht="15" hidden="false" customHeight="true" outlineLevel="0" collapsed="false">
      <c r="A15" s="21" t="s">
        <v>433</v>
      </c>
      <c r="B15" s="169" t="n">
        <f aca="false">B13-B14</f>
        <v>0</v>
      </c>
      <c r="C15" s="169" t="n">
        <f aca="false">C13-C14</f>
        <v>0</v>
      </c>
      <c r="D15" s="169" t="n">
        <f aca="false">D13-D14</f>
        <v>0</v>
      </c>
      <c r="E15" s="169" t="n">
        <f aca="false">E13-E14</f>
        <v>1.875</v>
      </c>
      <c r="F15" s="169" t="n">
        <f aca="false">F13-F14</f>
        <v>1.86700252729207</v>
      </c>
      <c r="G15" s="169" t="n">
        <f aca="false">G13-G14</f>
        <v>1.85903916635466</v>
      </c>
      <c r="H15" s="169" t="n">
        <f aca="false">H13-H14</f>
        <v>1.85110977169019</v>
      </c>
      <c r="I15" s="169" t="n">
        <f aca="false">I13-I14</f>
        <v>3.71821419842167</v>
      </c>
      <c r="J15" s="169" t="n">
        <f aca="false">J13-J14</f>
        <v>3.69396178175002</v>
      </c>
      <c r="K15" s="169" t="n">
        <f aca="false">K13-K14</f>
        <v>3.66988617812547</v>
      </c>
      <c r="L15" s="169" t="n">
        <f aca="false">L13-L14</f>
        <v>3.64598599202287</v>
      </c>
      <c r="M15" s="169" t="n">
        <f aca="false">M13-M14</f>
        <v>5.49725983947595</v>
      </c>
      <c r="N15" s="169" t="n">
        <f aca="false">N13-N14</f>
        <v>5.44848394733177</v>
      </c>
      <c r="O15" s="169" t="n">
        <f aca="false">O13-O14</f>
        <v>5.40021864549202</v>
      </c>
      <c r="P15" s="169" t="n">
        <f aca="false">P13-P14</f>
        <v>5.35245801996417</v>
      </c>
      <c r="Q15" s="169" t="n">
        <f aca="false">Q13-Q14</f>
        <v>7.18019622932263</v>
      </c>
      <c r="R15" s="169" t="n">
        <f aca="false">R13-R14</f>
        <v>7.10820510314065</v>
      </c>
      <c r="S15" s="169" t="n">
        <f aca="false">S13-S14</f>
        <v>7.03704063342016</v>
      </c>
      <c r="T15" s="169" t="n">
        <f aca="false">T13-T14</f>
        <v>6.96669262684235</v>
      </c>
      <c r="U15" s="169" t="n">
        <f aca="false">U13-U14</f>
        <v>6.89715102043911</v>
      </c>
      <c r="V15" s="169" t="n">
        <f aca="false">V13-V14</f>
        <v>6.82840587989303</v>
      </c>
      <c r="W15" s="169" t="n">
        <f aca="false">W13-W14</f>
        <v>6.76044739785986</v>
      </c>
      <c r="X15" s="169" t="n">
        <f aca="false">X13-X14</f>
        <v>6.69326589231308</v>
      </c>
      <c r="Y15" s="169" t="n">
        <f aca="false">Y13-Y14</f>
        <v>6.62685180491032</v>
      </c>
      <c r="Z15" s="169" t="n">
        <f aca="false">Z13-Z14</f>
        <v>6.56119569938125</v>
      </c>
      <c r="AA15" s="169" t="n">
        <f aca="false">AA13-AA14</f>
        <v>6.49628825993686</v>
      </c>
      <c r="AB15" s="169" t="n">
        <f aca="false">AB13-AB14</f>
        <v>6.43212028969958</v>
      </c>
      <c r="AC15" s="169" t="n">
        <f aca="false">AC13-AC14</f>
        <v>6.36868270915418</v>
      </c>
      <c r="AD15" s="169" t="n">
        <f aca="false">AD13-AD14</f>
        <v>6.30596655461908</v>
      </c>
      <c r="AE15" s="169" t="n">
        <f aca="false">AE13-AE14</f>
        <v>6.24396297673775</v>
      </c>
      <c r="AF15" s="169" t="n">
        <f aca="false">AF13-AF14</f>
        <v>6.18266323899007</v>
      </c>
      <c r="AG15" s="169" t="n">
        <f aca="false">AG13-AG14</f>
        <v>7.4720587162233</v>
      </c>
      <c r="AH15" s="169" t="n">
        <f aca="false">AH13-AH14</f>
        <v>7.40638271285262</v>
      </c>
      <c r="AI15" s="169" t="n">
        <f aca="false">AI13-AI14</f>
        <v>7.34140956295446</v>
      </c>
      <c r="AJ15" s="169" t="n">
        <f aca="false">AJ13-AJ14</f>
        <v>7.27713086209786</v>
      </c>
      <c r="AK15" s="169" t="n">
        <f aca="false">AK13-AK14</f>
        <v>7.21353831198081</v>
      </c>
      <c r="AL15" s="169" t="n">
        <f aca="false">AL13-AL14</f>
        <v>7.15062371905363</v>
      </c>
      <c r="AM15" s="169" t="n">
        <f aca="false">AM13-AM14</f>
        <v>7.08837899316031</v>
      </c>
      <c r="AN15" s="169" t="n">
        <f aca="false">AN13-AN14</f>
        <v>7.02679614619784</v>
      </c>
      <c r="AO15" s="169" t="n">
        <f aca="false">AO13-AO14</f>
        <v>6.9658672907931</v>
      </c>
      <c r="AP15" s="169" t="n">
        <f aca="false">AP13-AP14</f>
        <v>6.90558463899723</v>
      </c>
      <c r="AQ15" s="169" t="n">
        <f aca="false">AQ13-AQ14</f>
        <v>6.84594050099707</v>
      </c>
      <c r="AR15" s="169" t="n">
        <f aca="false">AR13-AR14</f>
        <v>6.78692728384366</v>
      </c>
      <c r="AS15" s="169" t="n">
        <f aca="false">AS13-AS14</f>
        <v>6.72853749019736</v>
      </c>
      <c r="AT15" s="169" t="n">
        <f aca="false">AT13-AT14</f>
        <v>6.67076371708956</v>
      </c>
      <c r="AU15" s="169" t="n">
        <f aca="false">AU13-AU14</f>
        <v>6.61359865470058</v>
      </c>
      <c r="AV15" s="169" t="n">
        <f aca="false">AV13-AV14</f>
        <v>6.5570350851537</v>
      </c>
      <c r="AW15" s="169" t="n">
        <f aca="false">AW13-AW14</f>
        <v>6.50106588132501</v>
      </c>
      <c r="AX15" s="169" t="n">
        <f aca="false">AX13-AX14</f>
        <v>6.44568400566891</v>
      </c>
      <c r="AY15" s="169" t="n">
        <f aca="false">AY13-AY14</f>
        <v>6.39088250905906</v>
      </c>
      <c r="AZ15" s="169" t="n">
        <f aca="false">AZ13-AZ14</f>
        <v>6.33665452964451</v>
      </c>
      <c r="BA15" s="169" t="n">
        <f aca="false">BA13-BA14</f>
        <v>6.28299329172091</v>
      </c>
      <c r="BB15" s="169" t="n">
        <f aca="false">BB13-BB14</f>
        <v>6.22989210461652</v>
      </c>
      <c r="BC15" s="169" t="n">
        <f aca="false">BC13-BC14</f>
        <v>6.17734436159287</v>
      </c>
      <c r="BD15" s="169" t="n">
        <f aca="false">BD13-BD14</f>
        <v>6.12534353875982</v>
      </c>
      <c r="BE15" s="169" t="n">
        <f aca="false">BE13-BE14</f>
        <v>6.07388319400494</v>
      </c>
      <c r="BF15" s="169" t="n">
        <f aca="false">BF13-BF14</f>
        <v>6.02295696593682</v>
      </c>
      <c r="BG15" s="169" t="n">
        <f aca="false">BG13-BG14</f>
        <v>5.97255857284241</v>
      </c>
      <c r="BH15" s="169" t="n">
        <f aca="false">BH13-BH14</f>
        <v>5.92268181165793</v>
      </c>
      <c r="BI15" s="169" t="n">
        <f aca="false">BI13-BI14</f>
        <v>5.87332055695334</v>
      </c>
      <c r="BJ15" s="169" t="n">
        <f aca="false">BJ13-BJ14</f>
        <v>5.82446875993009</v>
      </c>
      <c r="BK15" s="169" t="n">
        <f aca="false">BK13-BK14</f>
        <v>5.77612044743208</v>
      </c>
      <c r="BL15" s="169" t="n">
        <f aca="false">BL13-BL14</f>
        <v>5.72826972096957</v>
      </c>
      <c r="BM15" s="169" t="n">
        <f aca="false">BM13-BM14</f>
        <v>5.68091075575589</v>
      </c>
      <c r="BN15" s="169" t="n">
        <f aca="false">BN13-BN14</f>
        <v>5.63403779975677</v>
      </c>
      <c r="BO15" s="169" t="n">
        <f aca="false">BO13-BO14</f>
        <v>5.58764517275219</v>
      </c>
      <c r="BP15" s="169" t="n">
        <f aca="false">BP13-BP14</f>
        <v>5.54172726541046</v>
      </c>
      <c r="BQ15" s="169" t="n">
        <f aca="false">BQ13-BQ14</f>
        <v>5.49627853837451</v>
      </c>
      <c r="BR15" s="169" t="n">
        <f aca="false">BR13-BR14</f>
        <v>5.45129352136013</v>
      </c>
      <c r="BS15" s="169" t="n">
        <f aca="false">BS13-BS14</f>
        <v>5.406766812266</v>
      </c>
      <c r="BT15" s="169" t="n">
        <f aca="false">BT13-BT14</f>
        <v>5.36269307629543</v>
      </c>
      <c r="BU15" s="169" t="n">
        <f aca="false">BU13-BU14</f>
        <v>5.31906704508961</v>
      </c>
      <c r="BV15" s="169" t="n">
        <f aca="false">BV13-BV14</f>
        <v>5.27588351587217</v>
      </c>
      <c r="BW15" s="169" t="n">
        <f aca="false">BW13-BW14</f>
        <v>5.23313735060499</v>
      </c>
      <c r="BX15" s="169" t="n">
        <f aca="false">BX13-BX14</f>
        <v>5.19082347515507</v>
      </c>
      <c r="BY15" s="169" t="n">
        <f aca="false">BY13-BY14</f>
        <v>5.14893687847229</v>
      </c>
      <c r="BZ15" s="169" t="n">
        <f aca="false">BZ13-BZ14</f>
        <v>5.10747261177792</v>
      </c>
      <c r="CA15" s="169" t="n">
        <f aca="false">CA13-CA14</f>
        <v>5.06642578776384</v>
      </c>
      <c r="CB15" s="169" t="n">
        <f aca="false">CB13-CB14</f>
        <v>5.02579157980214</v>
      </c>
      <c r="CC15" s="169" t="n">
        <f aca="false">CC13-CC14</f>
        <v>4.98556522116514</v>
      </c>
      <c r="CD15" s="169" t="n">
        <f aca="false">CD13-CD14</f>
        <v>4.94574200425557</v>
      </c>
      <c r="CE15" s="169" t="n">
        <f aca="false">CE13-CE14</f>
        <v>4.9063172798469</v>
      </c>
      <c r="CF15" s="169" t="n">
        <f aca="false">CF13-CF14</f>
        <v>4.86728645633348</v>
      </c>
      <c r="CG15" s="169" t="n">
        <f aca="false">CG13-CG14</f>
        <v>4.82864499899066</v>
      </c>
      <c r="CH15" s="169" t="n">
        <f aca="false">CH13-CH14</f>
        <v>4.79038842924445</v>
      </c>
      <c r="CI15" s="169" t="n">
        <f aca="false">CI13-CI14</f>
        <v>4.75251232395078</v>
      </c>
      <c r="CJ15" s="169" t="n">
        <f aca="false">CJ13-CJ14</f>
        <v>4.71501231468421</v>
      </c>
      <c r="CK15" s="169" t="n">
        <f aca="false">CK13-CK14</f>
        <v>4.67788408703592</v>
      </c>
      <c r="CL15" s="169" t="n">
        <f aca="false">CL13-CL14</f>
        <v>4.64112337992088</v>
      </c>
      <c r="CM15" s="169" t="n">
        <f aca="false">CM13-CM14</f>
        <v>4.60472598489405</v>
      </c>
      <c r="CN15" s="169" t="n">
        <f aca="false">CN13-CN14</f>
        <v>4.5686877454756</v>
      </c>
      <c r="CO15" s="169" t="n">
        <f aca="false">CO13-CO14</f>
        <v>4.53300455648483</v>
      </c>
      <c r="CP15" s="169" t="n">
        <f aca="false">CP13-CP14</f>
        <v>4.49767236338291</v>
      </c>
      <c r="CQ15" s="169" t="n">
        <f aca="false">CQ13-CQ14</f>
        <v>4.46268716162413</v>
      </c>
      <c r="CR15" s="169" t="n">
        <f aca="false">CR13-CR14</f>
        <v>4.42804499601564</v>
      </c>
      <c r="CS15" s="169" t="n">
        <f aca="false">CS13-CS14</f>
        <v>4.3937419600856</v>
      </c>
      <c r="CT15" s="169" t="n">
        <f aca="false">CT13-CT14</f>
        <v>4.35977419545952</v>
      </c>
      <c r="CU15" s="169" t="n">
        <f aca="false">CU13-CU14</f>
        <v>4.32613789124475</v>
      </c>
      <c r="CV15" s="169" t="n">
        <f aca="false">CV13-CV14</f>
        <v>4.29282928342306</v>
      </c>
      <c r="CW15" s="169" t="n">
        <f aca="false">CW13-CW14</f>
        <v>4.2598446542511</v>
      </c>
      <c r="CX15" s="169" t="n">
        <f aca="false">CX13-CX14</f>
        <v>4.2271803316687</v>
      </c>
      <c r="CY15" s="169" t="n">
        <f aca="false">CY13-CY14</f>
        <v>4.19483268871487</v>
      </c>
      <c r="CZ15" s="169" t="n">
        <f aca="false">CZ13-CZ14</f>
        <v>4.16279814295147</v>
      </c>
      <c r="DA15" s="169" t="n">
        <f aca="false">DA13-DA14</f>
        <v>4.13107315589435</v>
      </c>
      <c r="DB15" s="169" t="n">
        <f aca="false">DB13-DB14</f>
        <v>4.09965423245193</v>
      </c>
      <c r="DC15" s="169" t="n">
        <f aca="false">DC13-DC14</f>
        <v>4.06853792037112</v>
      </c>
      <c r="DD15" s="169" t="n">
        <f aca="false">DD13-DD14</f>
        <v>4.03772080969041</v>
      </c>
      <c r="DE15" s="169" t="n">
        <f aca="false">DE13-DE14</f>
        <v>4.00719953220017</v>
      </c>
      <c r="DF15" s="169" t="n">
        <f aca="false">DF13-DF14</f>
        <v>3.97697076090989</v>
      </c>
      <c r="DG15" s="169" t="n">
        <f aca="false">DG13-DG14</f>
        <v>3.94703120952248</v>
      </c>
      <c r="DH15" s="169" t="n">
        <f aca="false">DH13-DH14</f>
        <v>3.9173776319153</v>
      </c>
      <c r="DI15" s="169" t="n">
        <f aca="false">DI13-DI14</f>
        <v>3.88800682162802</v>
      </c>
      <c r="DJ15" s="169" t="n">
        <f aca="false">DJ13-DJ14</f>
        <v>3.85891561135717</v>
      </c>
      <c r="DK15" s="169" t="n">
        <f aca="false">DK13-DK14</f>
        <v>3.83010087245721</v>
      </c>
      <c r="DL15" s="169" t="n">
        <f aca="false">DL13-DL14</f>
        <v>3.80155951444815</v>
      </c>
      <c r="DM15" s="169" t="n">
        <f aca="false">DM13-DM14</f>
        <v>3.77328848452957</v>
      </c>
      <c r="DN15" s="169" t="n">
        <f aca="false">DN13-DN14</f>
        <v>3.74528476710093</v>
      </c>
      <c r="DO15" s="169" t="n">
        <f aca="false">DO13-DO14</f>
        <v>3.71754538328818</v>
      </c>
      <c r="DP15" s="169" t="n">
        <f aca="false">DP13-DP14</f>
        <v>3.6900673904765</v>
      </c>
      <c r="DQ15" s="169" t="n">
        <f aca="false">DQ13-DQ14</f>
        <v>3.66284788184912</v>
      </c>
      <c r="DR15" s="169" t="n">
        <f aca="false">DR13-DR14</f>
        <v>3.63588398593214</v>
      </c>
      <c r="DS15" s="169" t="n">
        <f aca="false">DS13-DS14</f>
        <v>3.60917286614531</v>
      </c>
      <c r="DT15" s="169" t="n">
        <f aca="false">DT13-DT14</f>
        <v>3.58271172035857</v>
      </c>
      <c r="DU15" s="169" t="n">
        <f aca="false">DU13-DU14</f>
        <v>3.55649778045445</v>
      </c>
      <c r="DV15" s="169" t="n">
        <f aca="false">DV13-DV14</f>
        <v>3.53052831189607</v>
      </c>
      <c r="DW15" s="169" t="n">
        <f aca="false">DW13-DW14</f>
        <v>3.50480061330087</v>
      </c>
      <c r="DX15" s="169" t="n">
        <f aca="false">DX13-DX14</f>
        <v>3.47931201601972</v>
      </c>
      <c r="DY15" s="169" t="n">
        <f aca="false">DY13-DY14</f>
        <v>3.45405988372167</v>
      </c>
      <c r="DZ15" s="169" t="n">
        <f aca="false">DZ13-DZ14</f>
        <v>3.42904161198399</v>
      </c>
      <c r="EA15" s="169" t="n">
        <f aca="false">EA13-EA14</f>
        <v>3.40425462788754</v>
      </c>
      <c r="EB15" s="169" t="n">
        <f aca="false">EB13-EB14</f>
        <v>3.37969638961744</v>
      </c>
      <c r="EC15" s="169" t="n">
        <f aca="false">EC13-EC14</f>
        <v>3.35536438606892</v>
      </c>
      <c r="ED15" s="169" t="n">
        <f aca="false">ED13-ED14</f>
        <v>3.33125613645822</v>
      </c>
      <c r="EE15" s="169" t="n">
        <f aca="false">EE13-EE14</f>
        <v>3.30736918993863</v>
      </c>
      <c r="EF15" s="169" t="n">
        <f aca="false">EF13-EF14</f>
        <v>3.28370112522147</v>
      </c>
      <c r="EG15" s="169" t="n">
        <f aca="false">EG13-EG14</f>
        <v>3.26024955020199</v>
      </c>
      <c r="EH15" s="169" t="n">
        <f aca="false">EH13-EH14</f>
        <v>3.23701210159011</v>
      </c>
      <c r="EI15" s="169" t="n">
        <f aca="false">EI13-EI14</f>
        <v>3.213986444546</v>
      </c>
      <c r="EJ15" s="169" t="n">
        <f aca="false">EJ13-EJ14</f>
        <v>3.19117027232032</v>
      </c>
      <c r="EK15" s="169" t="n">
        <f aca="false">EK13-EK14</f>
        <v>3.16856130589919</v>
      </c>
      <c r="EL15" s="169" t="n">
        <f aca="false">EL13-EL14</f>
        <v>3.14615729365369</v>
      </c>
      <c r="EM15" s="169" t="n">
        <f aca="false">EM13-EM14</f>
        <v>3.123956010994</v>
      </c>
      <c r="EN15" s="169" t="n">
        <f aca="false">EN13-EN14</f>
        <v>3.1019552600279</v>
      </c>
      <c r="EO15" s="169" t="n">
        <f aca="false">EO13-EO14</f>
        <v>3.08015286922382</v>
      </c>
      <c r="EP15" s="169" t="n">
        <f aca="false">EP13-EP14</f>
        <v>3.05854669307818</v>
      </c>
      <c r="EQ15" s="169" t="n">
        <f aca="false">EQ13-EQ14</f>
        <v>3.03713461178702</v>
      </c>
      <c r="ER15" s="169" t="n">
        <f aca="false">ER13-ER14</f>
        <v>3.01591453092197</v>
      </c>
      <c r="ES15" s="169" t="n">
        <f aca="false">ES13-ES14</f>
        <v>2.99488438111035</v>
      </c>
      <c r="ET15" s="169" t="n">
        <f aca="false">ET13-ET14</f>
        <v>2.97404211771939</v>
      </c>
      <c r="EU15" s="169" t="n">
        <f aca="false">EU13-EU14</f>
        <v>2.95338572054462</v>
      </c>
      <c r="EV15" s="169" t="n">
        <f aca="false">EV13-EV14</f>
        <v>2.9329131935022</v>
      </c>
      <c r="EW15" s="169" t="n">
        <f aca="false">EW13-EW14</f>
        <v>2.91262256432532</v>
      </c>
      <c r="EX15" s="169" t="n">
        <f aca="false">EX13-EX14</f>
        <v>2.89251188426445</v>
      </c>
      <c r="EY15" s="169" t="n">
        <f aca="false">EY13-EY14</f>
        <v>2.87257922779148</v>
      </c>
      <c r="EZ15" s="169" t="n">
        <f aca="false">EZ13-EZ14</f>
        <v>2.85282269230778</v>
      </c>
      <c r="FA15" s="169" t="n">
        <f aca="false">FA13-FA14</f>
        <v>2.83324039785587</v>
      </c>
      <c r="FB15" s="169" t="n">
        <f aca="false">FB13-FB14</f>
        <v>2.81383048683494</v>
      </c>
      <c r="FC15" s="169" t="n">
        <f aca="false">FC13-FC14</f>
        <v>2.79459112372004</v>
      </c>
      <c r="FD15" s="169" t="n">
        <f aca="false">FD13-FD14</f>
        <v>2.77552049478481</v>
      </c>
      <c r="FE15" s="169" t="n">
        <f aca="false">FE13-FE14</f>
        <v>2.7566168078279</v>
      </c>
      <c r="FF15" s="169" t="n">
        <f aca="false">FF13-FF14</f>
        <v>2.73787829190285</v>
      </c>
      <c r="FG15" s="169" t="n">
        <f aca="false">FG13-FG14</f>
        <v>2.71930319705147</v>
      </c>
      <c r="FH15" s="169" t="n">
        <f aca="false">FH13-FH14</f>
        <v>2.7008897940407</v>
      </c>
      <c r="FI15" s="169" t="n">
        <f aca="false">FI13-FI14</f>
        <v>2.68263637410282</v>
      </c>
      <c r="FJ15" s="169" t="n">
        <f aca="false">FJ13-FJ14</f>
        <v>2.66454124867903</v>
      </c>
      <c r="FK15" s="169" t="n">
        <f aca="false">FK13-FK14</f>
        <v>2.64660274916635</v>
      </c>
      <c r="FL15" s="169" t="n">
        <f aca="false">FL13-FL14</f>
        <v>2.62881922666776</v>
      </c>
      <c r="FM15" s="169" t="n">
        <f aca="false">FM13-FM14</f>
        <v>2.6111890517456</v>
      </c>
      <c r="FN15" s="169" t="n">
        <f aca="false">FN13-FN14</f>
        <v>2.59371061417807</v>
      </c>
      <c r="FO15" s="169" t="n">
        <f aca="false">FO13-FO14</f>
        <v>2.57638232271901</v>
      </c>
      <c r="FP15" s="169" t="n">
        <f aca="false">FP13-FP14</f>
        <v>2.55920260486059</v>
      </c>
      <c r="FQ15" s="169" t="n">
        <f aca="false">FQ13-FQ14</f>
        <v>2.54216990659924</v>
      </c>
      <c r="FR15" s="169" t="n">
        <f aca="false">FR13-FR14</f>
        <v>2.52528269220447</v>
      </c>
      <c r="FS15" s="169" t="n">
        <f aca="false">FS13-FS14</f>
        <v>2.5085394439907</v>
      </c>
      <c r="FT15" s="169" t="n">
        <f aca="false">FT13-FT14</f>
        <v>2.49193866209208</v>
      </c>
      <c r="FU15" s="169" t="n">
        <f aca="false">FU13-FU14</f>
        <v>2.47547886424011</v>
      </c>
      <c r="FV15" s="169" t="n">
        <f aca="false">FV13-FV14</f>
        <v>2.45915858554425</v>
      </c>
      <c r="FW15" s="169" t="n">
        <f aca="false">FW13-FW14</f>
        <v>2.44297637827519</v>
      </c>
      <c r="FX15" s="169" t="n">
        <f aca="false">FX13-FX14</f>
        <v>2.42693081165109</v>
      </c>
      <c r="FY15" s="169" t="n">
        <f aca="false">FY13-FY14</f>
        <v>2.41102047162641</v>
      </c>
      <c r="FZ15" s="1"/>
    </row>
    <row r="16" customFormat="false" ht="15" hidden="false" customHeight="true" outlineLevel="0" collapsed="false">
      <c r="A16" s="18" t="s">
        <v>234</v>
      </c>
      <c r="B16" s="176" t="n">
        <v>0</v>
      </c>
      <c r="C16" s="176" t="n">
        <v>0</v>
      </c>
      <c r="D16" s="176" t="n">
        <v>0</v>
      </c>
      <c r="E16" s="176" t="n">
        <v>2.1333</v>
      </c>
      <c r="F16" s="176" t="n">
        <v>2.1046</v>
      </c>
      <c r="G16" s="176" t="n">
        <v>2.0763</v>
      </c>
      <c r="H16" s="176" t="n">
        <v>4.3151</v>
      </c>
      <c r="I16" s="176" t="n">
        <v>4.257</v>
      </c>
      <c r="J16" s="176" t="n">
        <v>4.1997</v>
      </c>
      <c r="K16" s="176" t="n">
        <v>6.6516</v>
      </c>
      <c r="L16" s="176" t="n">
        <v>6.5621</v>
      </c>
      <c r="M16" s="176" t="n">
        <v>8.6405</v>
      </c>
      <c r="N16" s="177" t="n">
        <v>8.5243</v>
      </c>
      <c r="O16" s="177" t="n">
        <v>8.4096</v>
      </c>
      <c r="P16" s="177" t="n">
        <v>8.2965</v>
      </c>
      <c r="Q16" s="177" t="n">
        <v>10.3015</v>
      </c>
      <c r="R16" s="177" t="n">
        <v>10.163</v>
      </c>
      <c r="S16" s="177" t="n">
        <v>10.0263</v>
      </c>
      <c r="T16" s="177" t="n">
        <v>9.8914</v>
      </c>
      <c r="U16" s="177" t="n">
        <v>9.7583</v>
      </c>
      <c r="V16" s="177" t="n">
        <v>9.6271</v>
      </c>
      <c r="W16" s="177" t="n">
        <v>9.4976</v>
      </c>
      <c r="X16" s="177" t="n">
        <v>9.3698</v>
      </c>
      <c r="Y16" s="177" t="n">
        <v>11.2438</v>
      </c>
      <c r="Z16" s="176" t="n">
        <v>11.0925</v>
      </c>
      <c r="AA16" s="176" t="n">
        <v>10.9433</v>
      </c>
      <c r="AB16" s="176" t="n">
        <v>10.7961</v>
      </c>
      <c r="AC16" s="176" t="n">
        <v>10.6508</v>
      </c>
      <c r="AD16" s="176" t="n">
        <v>10.5076</v>
      </c>
      <c r="AE16" s="176" t="n">
        <v>12.3662</v>
      </c>
      <c r="AF16" s="176" t="n">
        <v>12.1999</v>
      </c>
      <c r="AG16" s="176" t="n">
        <v>12.0358</v>
      </c>
      <c r="AH16" s="176" t="n">
        <v>11.8739</v>
      </c>
      <c r="AI16" s="176" t="n">
        <v>11.7141</v>
      </c>
      <c r="AJ16" s="176" t="n">
        <v>11.5566</v>
      </c>
      <c r="AK16" s="176" t="n">
        <v>13.4011</v>
      </c>
      <c r="AL16" s="177" t="n">
        <v>13.2208</v>
      </c>
      <c r="AM16" s="177" t="n">
        <v>13.043</v>
      </c>
      <c r="AN16" s="177" t="n">
        <v>12.8675</v>
      </c>
      <c r="AO16" s="177" t="n">
        <v>12.6944</v>
      </c>
      <c r="AP16" s="177" t="n">
        <v>12.5237</v>
      </c>
      <c r="AQ16" s="177" t="n">
        <v>12.3552</v>
      </c>
      <c r="AR16" s="177" t="n">
        <v>12.189</v>
      </c>
      <c r="AS16" s="177" t="n">
        <v>12.025</v>
      </c>
      <c r="AT16" s="177" t="n">
        <v>11.8633</v>
      </c>
      <c r="AU16" s="177" t="n">
        <v>11.7037</v>
      </c>
      <c r="AV16" s="177" t="n">
        <v>11.5463</v>
      </c>
      <c r="AW16" s="177" t="n">
        <v>11.3909</v>
      </c>
      <c r="AX16" s="176" t="n">
        <v>11.2377</v>
      </c>
      <c r="AY16" s="176" t="n">
        <v>11.0865</v>
      </c>
      <c r="AZ16" s="176" t="n">
        <v>10.9374</v>
      </c>
      <c r="BA16" s="176" t="n">
        <v>10.7903</v>
      </c>
      <c r="BB16" s="176" t="n">
        <v>10.6451</v>
      </c>
      <c r="BC16" s="176" t="n">
        <v>10.5019</v>
      </c>
      <c r="BD16" s="176" t="n">
        <v>10.3606</v>
      </c>
      <c r="BE16" s="176" t="n">
        <v>10.2213</v>
      </c>
      <c r="BF16" s="176" t="n">
        <v>10.0838</v>
      </c>
      <c r="BG16" s="176" t="n">
        <v>9.9481</v>
      </c>
      <c r="BH16" s="176" t="n">
        <v>9.8143</v>
      </c>
      <c r="BI16" s="176" t="n">
        <v>9.6823</v>
      </c>
      <c r="BJ16" s="177" t="n">
        <v>9.552</v>
      </c>
      <c r="BK16" s="177" t="n">
        <v>9.4236</v>
      </c>
      <c r="BL16" s="177" t="n">
        <v>9.2968</v>
      </c>
      <c r="BM16" s="177" t="n">
        <v>9.1717</v>
      </c>
      <c r="BN16" s="177" t="n">
        <v>9.0484</v>
      </c>
      <c r="BO16" s="177" t="n">
        <v>8.9266</v>
      </c>
      <c r="BP16" s="177" t="n">
        <v>8.8066</v>
      </c>
      <c r="BQ16" s="177" t="n">
        <v>8.6881</v>
      </c>
      <c r="BR16" s="177" t="n">
        <v>8.5712</v>
      </c>
      <c r="BS16" s="177" t="n">
        <v>8.4559</v>
      </c>
      <c r="BT16" s="177" t="n">
        <v>8.3422</v>
      </c>
      <c r="BU16" s="177" t="n">
        <v>8.2299</v>
      </c>
      <c r="BV16" s="176" t="n">
        <v>8.1192</v>
      </c>
      <c r="BW16" s="176" t="n">
        <v>8.01</v>
      </c>
      <c r="BX16" s="176" t="n">
        <v>7.9023</v>
      </c>
      <c r="BY16" s="176" t="n">
        <v>7.796</v>
      </c>
      <c r="BZ16" s="176" t="n">
        <v>7.6911</v>
      </c>
      <c r="CA16" s="176" t="n">
        <v>7.5876</v>
      </c>
      <c r="CB16" s="176" t="n">
        <v>7.4856</v>
      </c>
      <c r="CC16" s="176" t="n">
        <v>7.3849</v>
      </c>
      <c r="CD16" s="176" t="n">
        <v>7.2855</v>
      </c>
      <c r="CE16" s="176" t="n">
        <v>7.1875</v>
      </c>
      <c r="CF16" s="176" t="n">
        <v>7.0908</v>
      </c>
      <c r="CG16" s="176" t="n">
        <v>6.9955</v>
      </c>
      <c r="CH16" s="177" t="n">
        <v>6.9014</v>
      </c>
      <c r="CI16" s="177" t="n">
        <v>6.8085</v>
      </c>
      <c r="CJ16" s="177" t="n">
        <v>6.7169</v>
      </c>
      <c r="CK16" s="177" t="n">
        <v>6.6266</v>
      </c>
      <c r="CL16" s="177" t="n">
        <v>6.5374</v>
      </c>
      <c r="CM16" s="177" t="n">
        <v>6.4495</v>
      </c>
      <c r="CN16" s="177" t="n">
        <v>6.3627</v>
      </c>
      <c r="CO16" s="177" t="n">
        <v>6.2771</v>
      </c>
      <c r="CP16" s="177" t="n">
        <v>6.1927</v>
      </c>
      <c r="CQ16" s="177" t="n">
        <v>6.1094</v>
      </c>
      <c r="CR16" s="177" t="n">
        <v>6.0272</v>
      </c>
      <c r="CS16" s="177" t="n">
        <v>5.9461</v>
      </c>
      <c r="CT16" s="176" t="n">
        <v>5.8662</v>
      </c>
      <c r="CU16" s="176" t="n">
        <v>5.7872</v>
      </c>
      <c r="CV16" s="176" t="n">
        <v>5.7094</v>
      </c>
      <c r="CW16" s="176" t="n">
        <v>5.6326</v>
      </c>
      <c r="CX16" s="176" t="n">
        <v>5.5568</v>
      </c>
      <c r="CY16" s="176" t="n">
        <v>5.4821</v>
      </c>
      <c r="CZ16" s="176" t="n">
        <v>5.4083</v>
      </c>
      <c r="DA16" s="176" t="n">
        <v>5.3356</v>
      </c>
      <c r="DB16" s="176" t="n">
        <v>5.2638</v>
      </c>
      <c r="DC16" s="176" t="n">
        <v>5.193</v>
      </c>
      <c r="DD16" s="176" t="n">
        <v>5.1231</v>
      </c>
      <c r="DE16" s="176" t="n">
        <v>5.0542</v>
      </c>
      <c r="DF16" s="177" t="n">
        <v>4.9862</v>
      </c>
      <c r="DG16" s="177" t="n">
        <v>4.9192</v>
      </c>
      <c r="DH16" s="177" t="n">
        <v>4.853</v>
      </c>
      <c r="DI16" s="177" t="n">
        <v>4.7877</v>
      </c>
      <c r="DJ16" s="177" t="n">
        <v>4.7233</v>
      </c>
      <c r="DK16" s="177" t="n">
        <v>4.6598</v>
      </c>
      <c r="DL16" s="177" t="n">
        <v>4.5971</v>
      </c>
      <c r="DM16" s="177" t="n">
        <v>4.5352</v>
      </c>
      <c r="DN16" s="177" t="n">
        <v>4.4742</v>
      </c>
      <c r="DO16" s="177" t="n">
        <v>4.414</v>
      </c>
      <c r="DP16" s="177" t="n">
        <v>4.3547</v>
      </c>
      <c r="DQ16" s="177" t="n">
        <v>4.2961</v>
      </c>
      <c r="DR16" s="176" t="n">
        <v>4.2383</v>
      </c>
      <c r="DS16" s="176" t="n">
        <v>4.1813</v>
      </c>
      <c r="DT16" s="176" t="n">
        <v>4.125</v>
      </c>
      <c r="DU16" s="176" t="n">
        <v>4.0695</v>
      </c>
      <c r="DV16" s="176" t="n">
        <v>4.0148</v>
      </c>
      <c r="DW16" s="176" t="n">
        <v>3.9608</v>
      </c>
      <c r="DX16" s="176" t="n">
        <v>3.9075</v>
      </c>
      <c r="DY16" s="176" t="n">
        <v>3.855</v>
      </c>
      <c r="DZ16" s="176" t="n">
        <v>3.8031</v>
      </c>
      <c r="EA16" s="176" t="n">
        <v>3.7519</v>
      </c>
      <c r="EB16" s="176" t="n">
        <v>3.7015</v>
      </c>
      <c r="EC16" s="176" t="n">
        <v>3.6517</v>
      </c>
      <c r="ED16" s="177" t="n">
        <v>3.6025</v>
      </c>
      <c r="EE16" s="177" t="n">
        <v>3.5541</v>
      </c>
      <c r="EF16" s="177" t="n">
        <v>3.5063</v>
      </c>
      <c r="EG16" s="177" t="n">
        <v>3.4591</v>
      </c>
      <c r="EH16" s="177" t="n">
        <v>3.4126</v>
      </c>
      <c r="EI16" s="177" t="n">
        <v>3.3667</v>
      </c>
      <c r="EJ16" s="177" t="n">
        <v>3.3214</v>
      </c>
      <c r="EK16" s="177" t="n">
        <v>3.2767</v>
      </c>
      <c r="EL16" s="177" t="n">
        <v>3.2326</v>
      </c>
      <c r="EM16" s="177" t="n">
        <v>3.1891</v>
      </c>
      <c r="EN16" s="177" t="n">
        <v>3.1462</v>
      </c>
      <c r="EO16" s="177" t="n">
        <v>3.1039</v>
      </c>
      <c r="EP16" s="176" t="n">
        <v>3.0622</v>
      </c>
      <c r="EQ16" s="176" t="n">
        <v>3.021</v>
      </c>
      <c r="ER16" s="176" t="n">
        <v>2.9803</v>
      </c>
      <c r="ES16" s="176" t="n">
        <v>2.9402</v>
      </c>
      <c r="ET16" s="176" t="n">
        <v>2.9007</v>
      </c>
      <c r="EU16" s="176" t="n">
        <v>2.8617</v>
      </c>
      <c r="EV16" s="176" t="n">
        <v>2.8232</v>
      </c>
      <c r="EW16" s="176" t="n">
        <v>2.7852</v>
      </c>
      <c r="EX16" s="176" t="n">
        <v>2.7477</v>
      </c>
      <c r="EY16" s="176" t="n">
        <v>2.7108</v>
      </c>
      <c r="EZ16" s="176" t="n">
        <v>2.6743</v>
      </c>
      <c r="FA16" s="176" t="n">
        <v>2.6383</v>
      </c>
      <c r="FB16" s="177" t="n">
        <v>2.6028</v>
      </c>
      <c r="FC16" s="177" t="n">
        <v>2.5678</v>
      </c>
      <c r="FD16" s="177" t="n">
        <v>2.5333</v>
      </c>
      <c r="FE16" s="177" t="n">
        <v>2.4992</v>
      </c>
      <c r="FF16" s="177" t="n">
        <v>2.4656</v>
      </c>
      <c r="FG16" s="177" t="n">
        <v>2.4324</v>
      </c>
      <c r="FH16" s="177" t="n">
        <v>2.3997</v>
      </c>
      <c r="FI16" s="177" t="n">
        <v>2.3674</v>
      </c>
      <c r="FJ16" s="177" t="n">
        <v>2.3356</v>
      </c>
      <c r="FK16" s="177" t="n">
        <v>2.3042</v>
      </c>
      <c r="FL16" s="177" t="n">
        <v>2.2732</v>
      </c>
      <c r="FM16" s="177" t="n">
        <v>2.2426</v>
      </c>
      <c r="FN16" s="176" t="n">
        <v>2.2124</v>
      </c>
      <c r="FO16" s="176" t="n">
        <v>2.1827</v>
      </c>
      <c r="FP16" s="176" t="n">
        <v>2.1533</v>
      </c>
      <c r="FQ16" s="176" t="n">
        <v>2.1243</v>
      </c>
      <c r="FR16" s="176" t="n">
        <v>2.0958</v>
      </c>
      <c r="FS16" s="176" t="n">
        <v>2.0676</v>
      </c>
      <c r="FT16" s="176" t="n">
        <v>2.0397</v>
      </c>
      <c r="FU16" s="176" t="n">
        <v>2.0123</v>
      </c>
      <c r="FV16" s="176" t="n">
        <v>1.9852</v>
      </c>
      <c r="FW16" s="176" t="n">
        <v>1.9585</v>
      </c>
      <c r="FX16" s="176" t="n">
        <v>1.9322</v>
      </c>
      <c r="FY16" s="176" t="n">
        <v>1.9062</v>
      </c>
      <c r="FZ16" s="1"/>
    </row>
    <row r="17" customFormat="false" ht="15" hidden="false" customHeight="true" outlineLevel="0" collapsed="false">
      <c r="A17" s="17" t="s">
        <v>235</v>
      </c>
      <c r="B17" s="170" t="n">
        <f aca="false">_Engine_R50!R31</f>
        <v>0</v>
      </c>
      <c r="C17" s="170" t="n">
        <f aca="false">_Engine_R50!R32</f>
        <v>0</v>
      </c>
      <c r="D17" s="170" t="n">
        <f aca="false">_Engine_R50!R33</f>
        <v>0</v>
      </c>
      <c r="E17" s="170" t="n">
        <f aca="false">_Engine_R50!R34</f>
        <v>0.104166666666667</v>
      </c>
      <c r="F17" s="170" t="n">
        <f aca="false">_Engine_R50!R35</f>
        <v>0.103722362627337</v>
      </c>
      <c r="G17" s="170" t="n">
        <f aca="false">_Engine_R50!R36</f>
        <v>0.10327995368637</v>
      </c>
      <c r="H17" s="170" t="n">
        <f aca="false">_Engine_R50!R37</f>
        <v>0.102839431760566</v>
      </c>
      <c r="I17" s="170" t="n">
        <f aca="false">_Engine_R50!R38</f>
        <v>0.206567455467871</v>
      </c>
      <c r="J17" s="170" t="n">
        <f aca="false">_Engine_R50!R39</f>
        <v>0.205220098986112</v>
      </c>
      <c r="K17" s="170" t="n">
        <f aca="false">_Engine_R50!R40</f>
        <v>0.203882565451415</v>
      </c>
      <c r="L17" s="170" t="n">
        <f aca="false">_Engine_R50!R41</f>
        <v>0.202554777334604</v>
      </c>
      <c r="M17" s="170" t="n">
        <f aca="false">_Engine_R50!R42</f>
        <v>0.305403324415331</v>
      </c>
      <c r="N17" s="46" t="n">
        <f aca="false">_Engine_R50!R43</f>
        <v>0.302693552629543</v>
      </c>
      <c r="O17" s="46" t="n">
        <f aca="false">_Engine_R50!R44</f>
        <v>0.300012146971779</v>
      </c>
      <c r="P17" s="46" t="n">
        <f aca="false">_Engine_R50!R45</f>
        <v>0.297358778886898</v>
      </c>
      <c r="Q17" s="46" t="n">
        <f aca="false">_Engine_R50!R46</f>
        <v>0.398899790517924</v>
      </c>
      <c r="R17" s="46" t="n">
        <f aca="false">_Engine_R50!R47</f>
        <v>0.394900283507814</v>
      </c>
      <c r="S17" s="46" t="n">
        <f aca="false">_Engine_R50!R48</f>
        <v>0.390946701856676</v>
      </c>
      <c r="T17" s="46" t="n">
        <f aca="false">_Engine_R50!R49</f>
        <v>0.38703847926902</v>
      </c>
      <c r="U17" s="46" t="n">
        <f aca="false">_Engine_R50!R50</f>
        <v>0.383175056691062</v>
      </c>
      <c r="V17" s="46" t="n">
        <f aca="false">_Engine_R50!R51</f>
        <v>0.379355882216279</v>
      </c>
      <c r="W17" s="46" t="n">
        <f aca="false">_Engine_R50!R52</f>
        <v>0.375580410992214</v>
      </c>
      <c r="X17" s="46" t="n">
        <f aca="false">_Engine_R50!R53</f>
        <v>0.371848105128505</v>
      </c>
      <c r="Y17" s="46" t="n">
        <f aca="false">_Engine_R50!R54</f>
        <v>0.368158433606129</v>
      </c>
      <c r="Z17" s="170" t="n">
        <f aca="false">_Engine_R50!R55</f>
        <v>0.364510872187847</v>
      </c>
      <c r="AA17" s="170" t="n">
        <f aca="false">_Engine_R50!R56</f>
        <v>0.360904903329826</v>
      </c>
      <c r="AB17" s="170" t="n">
        <f aca="false">_Engine_R50!R57</f>
        <v>0.357340016094421</v>
      </c>
      <c r="AC17" s="170" t="n">
        <f aca="false">_Engine_R50!R58</f>
        <v>0.353815706064121</v>
      </c>
      <c r="AD17" s="170" t="n">
        <f aca="false">_Engine_R50!R59</f>
        <v>0.350331475256616</v>
      </c>
      <c r="AE17" s="170" t="n">
        <f aca="false">_Engine_R50!R60</f>
        <v>0.346886832040986</v>
      </c>
      <c r="AF17" s="170" t="n">
        <f aca="false">_Engine_R50!R61</f>
        <v>0.343481291055004</v>
      </c>
      <c r="AG17" s="170" t="n">
        <f aca="false">_Engine_R50!R62</f>
        <v>0.415114373123517</v>
      </c>
      <c r="AH17" s="170" t="n">
        <f aca="false">_Engine_R50!R63</f>
        <v>0.41146570626959</v>
      </c>
      <c r="AI17" s="170" t="n">
        <f aca="false">_Engine_R50!R64</f>
        <v>0.407856086830804</v>
      </c>
      <c r="AJ17" s="170" t="n">
        <f aca="false">_Engine_R50!R65</f>
        <v>0.404285047894325</v>
      </c>
      <c r="AK17" s="170" t="n">
        <f aca="false">_Engine_R50!R66</f>
        <v>0.400752128443379</v>
      </c>
      <c r="AL17" s="46" t="n">
        <f aca="false">_Engine_R50!R67</f>
        <v>0.397256873280757</v>
      </c>
      <c r="AM17" s="46" t="n">
        <f aca="false">_Engine_R50!R68</f>
        <v>0.393798832953351</v>
      </c>
      <c r="AN17" s="46" t="n">
        <f aca="false">_Engine_R50!R69</f>
        <v>0.390377563677658</v>
      </c>
      <c r="AO17" s="46" t="n">
        <f aca="false">_Engine_R50!R70</f>
        <v>0.386992627266283</v>
      </c>
      <c r="AP17" s="46" t="n">
        <f aca="false">_Engine_R50!R71</f>
        <v>0.383643591055401</v>
      </c>
      <c r="AQ17" s="46" t="n">
        <f aca="false">_Engine_R50!R72</f>
        <v>0.38033002783317</v>
      </c>
      <c r="AR17" s="46" t="n">
        <f aca="false">_Engine_R50!R73</f>
        <v>0.377051515769092</v>
      </c>
      <c r="AS17" s="46" t="n">
        <f aca="false">_Engine_R50!R74</f>
        <v>0.373807638344298</v>
      </c>
      <c r="AT17" s="46" t="n">
        <f aca="false">_Engine_R50!R75</f>
        <v>0.370597984282754</v>
      </c>
      <c r="AU17" s="46" t="n">
        <f aca="false">_Engine_R50!R76</f>
        <v>0.367422147483366</v>
      </c>
      <c r="AV17" s="46" t="n">
        <f aca="false">_Engine_R50!R77</f>
        <v>0.364279726952984</v>
      </c>
      <c r="AW17" s="46" t="n">
        <f aca="false">_Engine_R50!R78</f>
        <v>0.361170326740278</v>
      </c>
      <c r="AX17" s="170" t="n">
        <f aca="false">_Engine_R50!R79</f>
        <v>0.358093555870495</v>
      </c>
      <c r="AY17" s="170" t="n">
        <f aca="false">_Engine_R50!R80</f>
        <v>0.355049028281059</v>
      </c>
      <c r="AZ17" s="170" t="n">
        <f aca="false">_Engine_R50!R81</f>
        <v>0.352036362758028</v>
      </c>
      <c r="BA17" s="170" t="n">
        <f aca="false">_Engine_R50!R82</f>
        <v>0.349055182873384</v>
      </c>
      <c r="BB17" s="170" t="n">
        <f aca="false">_Engine_R50!R83</f>
        <v>0.34610511692314</v>
      </c>
      <c r="BC17" s="170" t="n">
        <f aca="false">_Engine_R50!R84</f>
        <v>0.34318579786627</v>
      </c>
      <c r="BD17" s="170" t="n">
        <f aca="false">_Engine_R50!R85</f>
        <v>0.340296863264435</v>
      </c>
      <c r="BE17" s="170" t="n">
        <f aca="false">_Engine_R50!R86</f>
        <v>0.337437955222496</v>
      </c>
      <c r="BF17" s="170" t="n">
        <f aca="false">_Engine_R50!R87</f>
        <v>0.334608720329823</v>
      </c>
      <c r="BG17" s="170" t="n">
        <f aca="false">_Engine_R50!R88</f>
        <v>0.331808809602356</v>
      </c>
      <c r="BH17" s="170" t="n">
        <f aca="false">_Engine_R50!R89</f>
        <v>0.329037878425441</v>
      </c>
      <c r="BI17" s="170" t="n">
        <f aca="false">_Engine_R50!R90</f>
        <v>0.326295586497408</v>
      </c>
      <c r="BJ17" s="46" t="n">
        <f aca="false">_Engine_R50!R91</f>
        <v>0.323581597773894</v>
      </c>
      <c r="BK17" s="46" t="n">
        <f aca="false">_Engine_R50!R92</f>
        <v>0.320895580412893</v>
      </c>
      <c r="BL17" s="46" t="n">
        <f aca="false">_Engine_R50!R93</f>
        <v>0.318237206720532</v>
      </c>
      <c r="BM17" s="46" t="n">
        <f aca="false">_Engine_R50!R94</f>
        <v>0.315606153097549</v>
      </c>
      <c r="BN17" s="46" t="n">
        <f aca="false">_Engine_R50!R95</f>
        <v>0.313002099986487</v>
      </c>
      <c r="BO17" s="46" t="n">
        <f aca="false">_Engine_R50!R96</f>
        <v>0.310424731819566</v>
      </c>
      <c r="BP17" s="46" t="n">
        <f aca="false">_Engine_R50!R97</f>
        <v>0.307873736967248</v>
      </c>
      <c r="BQ17" s="46" t="n">
        <f aca="false">_Engine_R50!R98</f>
        <v>0.305348807687473</v>
      </c>
      <c r="BR17" s="46" t="n">
        <f aca="false">_Engine_R50!R99</f>
        <v>0.302849640075563</v>
      </c>
      <c r="BS17" s="46" t="n">
        <f aca="false">_Engine_R50!R100</f>
        <v>0.300375934014778</v>
      </c>
      <c r="BT17" s="46" t="n">
        <f aca="false">_Engine_R50!R101</f>
        <v>0.297927393127524</v>
      </c>
      <c r="BU17" s="46" t="n">
        <f aca="false">_Engine_R50!R102</f>
        <v>0.295503724727201</v>
      </c>
      <c r="BV17" s="170" t="n">
        <f aca="false">_Engine_R50!R103</f>
        <v>0.293104639770676</v>
      </c>
      <c r="BW17" s="170" t="n">
        <f aca="false">_Engine_R50!R104</f>
        <v>0.290729852811388</v>
      </c>
      <c r="BX17" s="170" t="n">
        <f aca="false">_Engine_R50!R105</f>
        <v>0.288379081953059</v>
      </c>
      <c r="BY17" s="170" t="n">
        <f aca="false">_Engine_R50!R106</f>
        <v>0.286052048804016</v>
      </c>
      <c r="BZ17" s="170" t="n">
        <f aca="false">_Engine_R50!R107</f>
        <v>0.283748478432107</v>
      </c>
      <c r="CA17" s="170" t="n">
        <f aca="false">_Engine_R50!R108</f>
        <v>0.281468099320213</v>
      </c>
      <c r="CB17" s="170" t="n">
        <f aca="false">_Engine_R50!R109</f>
        <v>0.279210643322341</v>
      </c>
      <c r="CC17" s="170" t="n">
        <f aca="false">_Engine_R50!R110</f>
        <v>0.276975845620286</v>
      </c>
      <c r="CD17" s="170" t="n">
        <f aca="false">_Engine_R50!R111</f>
        <v>0.274763444680865</v>
      </c>
      <c r="CE17" s="170" t="n">
        <f aca="false">_Engine_R50!R112</f>
        <v>0.272573182213716</v>
      </c>
      <c r="CF17" s="170" t="n">
        <f aca="false">_Engine_R50!R113</f>
        <v>0.270404803129638</v>
      </c>
      <c r="CG17" s="170" t="n">
        <f aca="false">_Engine_R50!R114</f>
        <v>0.268258055499481</v>
      </c>
      <c r="CH17" s="46" t="n">
        <f aca="false">_Engine_R50!R115</f>
        <v>0.26613269051358</v>
      </c>
      <c r="CI17" s="46" t="n">
        <f aca="false">_Engine_R50!R116</f>
        <v>0.26402846244171</v>
      </c>
      <c r="CJ17" s="46" t="n">
        <f aca="false">_Engine_R50!R117</f>
        <v>0.261945128593567</v>
      </c>
      <c r="CK17" s="46" t="n">
        <f aca="false">_Engine_R50!R118</f>
        <v>0.259882449279773</v>
      </c>
      <c r="CL17" s="46" t="n">
        <f aca="false">_Engine_R50!R119</f>
        <v>0.257840187773382</v>
      </c>
      <c r="CM17" s="46" t="n">
        <f aca="false">_Engine_R50!R120</f>
        <v>0.255818110271892</v>
      </c>
      <c r="CN17" s="46" t="n">
        <f aca="false">_Engine_R50!R121</f>
        <v>0.253815985859756</v>
      </c>
      <c r="CO17" s="46" t="n">
        <f aca="false">_Engine_R50!R122</f>
        <v>0.25183358647138</v>
      </c>
      <c r="CP17" s="46" t="n">
        <f aca="false">_Engine_R50!R123</f>
        <v>0.249870686854606</v>
      </c>
      <c r="CQ17" s="46" t="n">
        <f aca="false">_Engine_R50!R124</f>
        <v>0.247927064534674</v>
      </c>
      <c r="CR17" s="46" t="n">
        <f aca="false">_Engine_R50!R125</f>
        <v>0.246002499778647</v>
      </c>
      <c r="CS17" s="46" t="n">
        <f aca="false">_Engine_R50!R126</f>
        <v>0.244096775560311</v>
      </c>
      <c r="CT17" s="170" t="n">
        <f aca="false">_Engine_R50!R127</f>
        <v>0.242209677525529</v>
      </c>
      <c r="CU17" s="170" t="n">
        <f aca="false">_Engine_R50!R128</f>
        <v>0.240340993958041</v>
      </c>
      <c r="CV17" s="170" t="n">
        <f aca="false">_Engine_R50!R129</f>
        <v>0.238490515745726</v>
      </c>
      <c r="CW17" s="170" t="n">
        <f aca="false">_Engine_R50!R130</f>
        <v>0.236658036347284</v>
      </c>
      <c r="CX17" s="170" t="n">
        <f aca="false">_Engine_R50!R131</f>
        <v>0.234843351759372</v>
      </c>
      <c r="CY17" s="170" t="n">
        <f aca="false">_Engine_R50!R132</f>
        <v>0.23304626048416</v>
      </c>
      <c r="CZ17" s="170" t="n">
        <f aca="false">_Engine_R50!R133</f>
        <v>0.231266563497304</v>
      </c>
      <c r="DA17" s="170" t="n">
        <f aca="false">_Engine_R50!R134</f>
        <v>0.229504064216353</v>
      </c>
      <c r="DB17" s="170" t="n">
        <f aca="false">_Engine_R50!R135</f>
        <v>0.227758568469552</v>
      </c>
      <c r="DC17" s="170" t="n">
        <f aca="false">_Engine_R50!R136</f>
        <v>0.226029884465062</v>
      </c>
      <c r="DD17" s="170" t="n">
        <f aca="false">_Engine_R50!R137</f>
        <v>0.224317822760578</v>
      </c>
      <c r="DE17" s="170" t="n">
        <f aca="false">_Engine_R50!R138</f>
        <v>0.222622196233343</v>
      </c>
      <c r="DF17" s="46" t="n">
        <f aca="false">_Engine_R50!R139</f>
        <v>0.22094282005055</v>
      </c>
      <c r="DG17" s="46" t="n">
        <f aca="false">_Engine_R50!R140</f>
        <v>0.219279511640138</v>
      </c>
      <c r="DH17" s="46" t="n">
        <f aca="false">_Engine_R50!R141</f>
        <v>0.217632090661961</v>
      </c>
      <c r="DI17" s="46" t="n">
        <f aca="false">_Engine_R50!R142</f>
        <v>0.216000378979334</v>
      </c>
      <c r="DJ17" s="46" t="n">
        <f aca="false">_Engine_R50!R143</f>
        <v>0.214384200630954</v>
      </c>
      <c r="DK17" s="46" t="n">
        <f aca="false">_Engine_R50!R144</f>
        <v>0.212783381803178</v>
      </c>
      <c r="DL17" s="46" t="n">
        <f aca="false">_Engine_R50!R145</f>
        <v>0.211197750802675</v>
      </c>
      <c r="DM17" s="46" t="n">
        <f aca="false">_Engine_R50!R146</f>
        <v>0.209627138029421</v>
      </c>
      <c r="DN17" s="46" t="n">
        <f aca="false">_Engine_R50!R147</f>
        <v>0.208071375950052</v>
      </c>
      <c r="DO17" s="46" t="n">
        <f aca="false">_Engine_R50!R148</f>
        <v>0.206530299071566</v>
      </c>
      <c r="DP17" s="46" t="n">
        <f aca="false">_Engine_R50!R149</f>
        <v>0.205003743915361</v>
      </c>
      <c r="DQ17" s="46" t="n">
        <f aca="false">_Engine_R50!R150</f>
        <v>0.203491548991618</v>
      </c>
      <c r="DR17" s="170" t="n">
        <f aca="false">_Engine_R50!R151</f>
        <v>0.201993554774008</v>
      </c>
      <c r="DS17" s="170" t="n">
        <f aca="false">_Engine_R50!R152</f>
        <v>0.20050960367474</v>
      </c>
      <c r="DT17" s="170" t="n">
        <f aca="false">_Engine_R50!R153</f>
        <v>0.199039540019921</v>
      </c>
      <c r="DU17" s="170" t="n">
        <f aca="false">_Engine_R50!R154</f>
        <v>0.197583210025247</v>
      </c>
      <c r="DV17" s="170" t="n">
        <f aca="false">_Engine_R50!R155</f>
        <v>0.196140461772004</v>
      </c>
      <c r="DW17" s="170" t="n">
        <f aca="false">_Engine_R50!R156</f>
        <v>0.194711145183381</v>
      </c>
      <c r="DX17" s="170" t="n">
        <f aca="false">_Engine_R50!R157</f>
        <v>0.193295112001095</v>
      </c>
      <c r="DY17" s="170" t="n">
        <f aca="false">_Engine_R50!R158</f>
        <v>0.191892215762315</v>
      </c>
      <c r="DZ17" s="170" t="n">
        <f aca="false">_Engine_R50!R159</f>
        <v>0.190502311776888</v>
      </c>
      <c r="EA17" s="170" t="n">
        <f aca="false">_Engine_R50!R160</f>
        <v>0.189125257104863</v>
      </c>
      <c r="EB17" s="170" t="n">
        <f aca="false">_Engine_R50!R161</f>
        <v>0.187760910534302</v>
      </c>
      <c r="EC17" s="170" t="n">
        <f aca="false">_Engine_R50!R162</f>
        <v>0.186409132559384</v>
      </c>
      <c r="ED17" s="46" t="n">
        <f aca="false">_Engine_R50!R163</f>
        <v>0.18506978535879</v>
      </c>
      <c r="EE17" s="46" t="n">
        <f aca="false">_Engine_R50!R164</f>
        <v>0.183742732774368</v>
      </c>
      <c r="EF17" s="46" t="n">
        <f aca="false">_Engine_R50!R165</f>
        <v>0.182427840290082</v>
      </c>
      <c r="EG17" s="46" t="n">
        <f aca="false">_Engine_R50!R166</f>
        <v>0.181124975011221</v>
      </c>
      <c r="EH17" s="46" t="n">
        <f aca="false">_Engine_R50!R167</f>
        <v>0.179834005643895</v>
      </c>
      <c r="EI17" s="46" t="n">
        <f aca="false">_Engine_R50!R168</f>
        <v>0.178554802474778</v>
      </c>
      <c r="EJ17" s="46" t="n">
        <f aca="false">_Engine_R50!R169</f>
        <v>0.177287237351129</v>
      </c>
      <c r="EK17" s="46" t="n">
        <f aca="false">_Engine_R50!R170</f>
        <v>0.176031183661066</v>
      </c>
      <c r="EL17" s="46" t="n">
        <f aca="false">_Engine_R50!R171</f>
        <v>0.174786516314094</v>
      </c>
      <c r="EM17" s="46" t="n">
        <f aca="false">_Engine_R50!R172</f>
        <v>0.173553111721889</v>
      </c>
      <c r="EN17" s="46" t="n">
        <f aca="false">_Engine_R50!R173</f>
        <v>0.172330847779328</v>
      </c>
      <c r="EO17" s="46" t="n">
        <f aca="false">_Engine_R50!R174</f>
        <v>0.171119603845768</v>
      </c>
      <c r="EP17" s="170" t="n">
        <f aca="false">_Engine_R50!R175</f>
        <v>0.169919260726565</v>
      </c>
      <c r="EQ17" s="170" t="n">
        <f aca="false">_Engine_R50!R176</f>
        <v>0.168729700654834</v>
      </c>
      <c r="ER17" s="170" t="n">
        <f aca="false">_Engine_R50!R177</f>
        <v>0.167550807273443</v>
      </c>
      <c r="ES17" s="170" t="n">
        <f aca="false">_Engine_R50!R178</f>
        <v>0.166382465617242</v>
      </c>
      <c r="ET17" s="170" t="n">
        <f aca="false">_Engine_R50!R179</f>
        <v>0.165224562095522</v>
      </c>
      <c r="EU17" s="170" t="n">
        <f aca="false">_Engine_R50!R180</f>
        <v>0.164076984474701</v>
      </c>
      <c r="EV17" s="170" t="n">
        <f aca="false">_Engine_R50!R181</f>
        <v>0.162939621861234</v>
      </c>
      <c r="EW17" s="170" t="n">
        <f aca="false">_Engine_R50!R182</f>
        <v>0.16181236468474</v>
      </c>
      <c r="EX17" s="170" t="n">
        <f aca="false">_Engine_R50!R183</f>
        <v>0.160695104681358</v>
      </c>
      <c r="EY17" s="170" t="n">
        <f aca="false">_Engine_R50!R184</f>
        <v>0.159587734877305</v>
      </c>
      <c r="EZ17" s="170" t="n">
        <f aca="false">_Engine_R50!R185</f>
        <v>0.158490149572655</v>
      </c>
      <c r="FA17" s="170" t="n">
        <f aca="false">_Engine_R50!R186</f>
        <v>0.157402244325326</v>
      </c>
      <c r="FB17" s="46" t="n">
        <f aca="false">_Engine_R50!R187</f>
        <v>0.156323915935274</v>
      </c>
      <c r="FC17" s="46" t="n">
        <f aca="false">_Engine_R50!R188</f>
        <v>0.155255062428891</v>
      </c>
      <c r="FD17" s="46" t="n">
        <f aca="false">_Engine_R50!R189</f>
        <v>0.1541955830436</v>
      </c>
      <c r="FE17" s="46" t="n">
        <f aca="false">_Engine_R50!R190</f>
        <v>0.153145378212661</v>
      </c>
      <c r="FF17" s="46" t="n">
        <f aca="false">_Engine_R50!R191</f>
        <v>0.152104349550158</v>
      </c>
      <c r="FG17" s="46" t="n">
        <f aca="false">_Engine_R50!R192</f>
        <v>0.151072399836193</v>
      </c>
      <c r="FH17" s="46" t="n">
        <f aca="false">_Engine_R50!R193</f>
        <v>0.150049433002261</v>
      </c>
      <c r="FI17" s="46" t="n">
        <f aca="false">_Engine_R50!R194</f>
        <v>0.149035354116823</v>
      </c>
      <c r="FJ17" s="46" t="n">
        <f aca="false">_Engine_R50!R195</f>
        <v>0.148030069371057</v>
      </c>
      <c r="FK17" s="46" t="n">
        <f aca="false">_Engine_R50!R196</f>
        <v>0.147033486064797</v>
      </c>
      <c r="FL17" s="46" t="n">
        <f aca="false">_Engine_R50!R197</f>
        <v>0.146045512592653</v>
      </c>
      <c r="FM17" s="46" t="n">
        <f aca="false">_Engine_R50!R198</f>
        <v>0.145066058430311</v>
      </c>
      <c r="FN17" s="170" t="n">
        <f aca="false">_Engine_R50!R199</f>
        <v>0.144095034121004</v>
      </c>
      <c r="FO17" s="170" t="n">
        <f aca="false">_Engine_R50!R200</f>
        <v>0.143132351262167</v>
      </c>
      <c r="FP17" s="170" t="n">
        <f aca="false">_Engine_R50!R201</f>
        <v>0.142177922492255</v>
      </c>
      <c r="FQ17" s="170" t="n">
        <f aca="false">_Engine_R50!R202</f>
        <v>0.141231661477736</v>
      </c>
      <c r="FR17" s="170" t="n">
        <f aca="false">_Engine_R50!R203</f>
        <v>0.140293482900248</v>
      </c>
      <c r="FS17" s="170" t="n">
        <f aca="false">_Engine_R50!R204</f>
        <v>0.139363302443928</v>
      </c>
      <c r="FT17" s="170" t="n">
        <f aca="false">_Engine_R50!R205</f>
        <v>0.138441036782893</v>
      </c>
      <c r="FU17" s="170" t="n">
        <f aca="false">_Engine_R50!R206</f>
        <v>0.137526603568895</v>
      </c>
      <c r="FV17" s="170" t="n">
        <f aca="false">_Engine_R50!R207</f>
        <v>0.136619921419125</v>
      </c>
      <c r="FW17" s="170" t="n">
        <f aca="false">_Engine_R50!R208</f>
        <v>0.135720909904177</v>
      </c>
      <c r="FX17" s="170" t="n">
        <f aca="false">_Engine_R50!R209</f>
        <v>0.134829489536172</v>
      </c>
      <c r="FY17" s="170" t="n">
        <f aca="false">_Engine_R50!R210</f>
        <v>0.133945581757023</v>
      </c>
      <c r="FZ17" s="1"/>
    </row>
    <row r="18" customFormat="false" ht="15" hidden="false" customHeight="true" outlineLevel="0" collapsed="false">
      <c r="A18" s="179" t="s">
        <v>236</v>
      </c>
      <c r="B18" s="180" t="n">
        <f aca="false">_Engine_R50!S31</f>
        <v>0</v>
      </c>
      <c r="C18" s="180" t="n">
        <f aca="false">_Engine_R50!S32</f>
        <v>0</v>
      </c>
      <c r="D18" s="180" t="n">
        <f aca="false">_Engine_R50!S33</f>
        <v>0</v>
      </c>
      <c r="E18" s="180" t="n">
        <f aca="false">_Engine_R50!S34</f>
        <v>0.125</v>
      </c>
      <c r="F18" s="180" t="n">
        <f aca="false">_Engine_R50!S35</f>
        <v>0.124466835152805</v>
      </c>
      <c r="G18" s="180" t="n">
        <f aca="false">_Engine_R50!S36</f>
        <v>0.123935944423644</v>
      </c>
      <c r="H18" s="180" t="n">
        <f aca="false">_Engine_R50!S37</f>
        <v>0.123407318112679</v>
      </c>
      <c r="I18" s="180" t="n">
        <f aca="false">_Engine_R50!S38</f>
        <v>0.247880946561445</v>
      </c>
      <c r="J18" s="180" t="n">
        <f aca="false">_Engine_R50!S39</f>
        <v>0.246264118783335</v>
      </c>
      <c r="K18" s="180" t="n">
        <f aca="false">_Engine_R50!S40</f>
        <v>0.244659078541698</v>
      </c>
      <c r="L18" s="180" t="n">
        <f aca="false">_Engine_R50!S41</f>
        <v>0.243065732801525</v>
      </c>
      <c r="M18" s="180" t="n">
        <f aca="false">_Engine_R50!S42</f>
        <v>0.366483989298397</v>
      </c>
      <c r="N18" s="181" t="n">
        <f aca="false">_Engine_R50!S43</f>
        <v>0.363232263155451</v>
      </c>
      <c r="O18" s="181" t="n">
        <f aca="false">_Engine_R50!S44</f>
        <v>0.360014576366135</v>
      </c>
      <c r="P18" s="181" t="n">
        <f aca="false">_Engine_R50!S45</f>
        <v>0.356830534664278</v>
      </c>
      <c r="Q18" s="181" t="n">
        <f aca="false">_Engine_R50!S46</f>
        <v>0.478679748621508</v>
      </c>
      <c r="R18" s="181" t="n">
        <f aca="false">_Engine_R50!S47</f>
        <v>0.473880340209377</v>
      </c>
      <c r="S18" s="181" t="n">
        <f aca="false">_Engine_R50!S48</f>
        <v>0.469136042228011</v>
      </c>
      <c r="T18" s="181" t="n">
        <f aca="false">_Engine_R50!S49</f>
        <v>0.464446175122824</v>
      </c>
      <c r="U18" s="181" t="n">
        <f aca="false">_Engine_R50!S50</f>
        <v>0.459810068029274</v>
      </c>
      <c r="V18" s="181" t="n">
        <f aca="false">_Engine_R50!S51</f>
        <v>0.455227058659535</v>
      </c>
      <c r="W18" s="181" t="n">
        <f aca="false">_Engine_R50!S52</f>
        <v>0.450696493190657</v>
      </c>
      <c r="X18" s="181" t="n">
        <f aca="false">_Engine_R50!S53</f>
        <v>0.446217726154206</v>
      </c>
      <c r="Y18" s="181" t="n">
        <f aca="false">_Engine_R50!S54</f>
        <v>0.441790120327355</v>
      </c>
      <c r="Z18" s="180" t="n">
        <f aca="false">_Engine_R50!S55</f>
        <v>0.437413046625417</v>
      </c>
      <c r="AA18" s="180" t="n">
        <f aca="false">_Engine_R50!S56</f>
        <v>0.433085883995791</v>
      </c>
      <c r="AB18" s="180" t="n">
        <f aca="false">_Engine_R50!S57</f>
        <v>0.428808019313305</v>
      </c>
      <c r="AC18" s="180" t="n">
        <f aca="false">_Engine_R50!S58</f>
        <v>0.424578847276946</v>
      </c>
      <c r="AD18" s="180" t="n">
        <f aca="false">_Engine_R50!S59</f>
        <v>0.420397770307939</v>
      </c>
      <c r="AE18" s="180" t="n">
        <f aca="false">_Engine_R50!S60</f>
        <v>0.416264198449183</v>
      </c>
      <c r="AF18" s="180" t="n">
        <f aca="false">_Engine_R50!S61</f>
        <v>0.412177549266005</v>
      </c>
      <c r="AG18" s="180" t="n">
        <f aca="false">_Engine_R50!S62</f>
        <v>0.49813724774822</v>
      </c>
      <c r="AH18" s="180" t="n">
        <f aca="false">_Engine_R50!S63</f>
        <v>0.493758847523508</v>
      </c>
      <c r="AI18" s="180" t="n">
        <f aca="false">_Engine_R50!S64</f>
        <v>0.489427304196964</v>
      </c>
      <c r="AJ18" s="180" t="n">
        <f aca="false">_Engine_R50!S65</f>
        <v>0.485142057473191</v>
      </c>
      <c r="AK18" s="180" t="n">
        <f aca="false">_Engine_R50!S66</f>
        <v>0.480902554132054</v>
      </c>
      <c r="AL18" s="181" t="n">
        <f aca="false">_Engine_R50!S67</f>
        <v>0.476708247936909</v>
      </c>
      <c r="AM18" s="181" t="n">
        <f aca="false">_Engine_R50!S68</f>
        <v>0.472558599544021</v>
      </c>
      <c r="AN18" s="181" t="n">
        <f aca="false">_Engine_R50!S69</f>
        <v>0.468453076413189</v>
      </c>
      <c r="AO18" s="181" t="n">
        <f aca="false">_Engine_R50!S70</f>
        <v>0.46439115271954</v>
      </c>
      <c r="AP18" s="181" t="n">
        <f aca="false">_Engine_R50!S71</f>
        <v>0.460372309266482</v>
      </c>
      <c r="AQ18" s="181" t="n">
        <f aca="false">_Engine_R50!S72</f>
        <v>0.456396033399804</v>
      </c>
      <c r="AR18" s="181" t="n">
        <f aca="false">_Engine_R50!S73</f>
        <v>0.45246181892291</v>
      </c>
      <c r="AS18" s="181" t="n">
        <f aca="false">_Engine_R50!S74</f>
        <v>0.448569166013157</v>
      </c>
      <c r="AT18" s="181" t="n">
        <f aca="false">_Engine_R50!S75</f>
        <v>0.444717581139304</v>
      </c>
      <c r="AU18" s="181" t="n">
        <f aca="false">_Engine_R50!S76</f>
        <v>0.440906576980039</v>
      </c>
      <c r="AV18" s="181" t="n">
        <f aca="false">_Engine_R50!S77</f>
        <v>0.43713567234358</v>
      </c>
      <c r="AW18" s="181" t="n">
        <f aca="false">_Engine_R50!S78</f>
        <v>0.433404392088334</v>
      </c>
      <c r="AX18" s="180" t="n">
        <f aca="false">_Engine_R50!S79</f>
        <v>0.429712267044594</v>
      </c>
      <c r="AY18" s="180" t="n">
        <f aca="false">_Engine_R50!S80</f>
        <v>0.426058833937271</v>
      </c>
      <c r="AZ18" s="180" t="n">
        <f aca="false">_Engine_R50!S81</f>
        <v>0.422443635309634</v>
      </c>
      <c r="BA18" s="180" t="n">
        <f aca="false">_Engine_R50!S82</f>
        <v>0.41886621944806</v>
      </c>
      <c r="BB18" s="180" t="n">
        <f aca="false">_Engine_R50!S83</f>
        <v>0.415326140307768</v>
      </c>
      <c r="BC18" s="180" t="n">
        <f aca="false">_Engine_R50!S84</f>
        <v>0.411822957439524</v>
      </c>
      <c r="BD18" s="180" t="n">
        <f aca="false">_Engine_R50!S85</f>
        <v>0.408356235917321</v>
      </c>
      <c r="BE18" s="180" t="n">
        <f aca="false">_Engine_R50!S86</f>
        <v>0.404925546266996</v>
      </c>
      <c r="BF18" s="180" t="n">
        <f aca="false">_Engine_R50!S87</f>
        <v>0.401530464395788</v>
      </c>
      <c r="BG18" s="180" t="n">
        <f aca="false">_Engine_R50!S88</f>
        <v>0.398170571522827</v>
      </c>
      <c r="BH18" s="180" t="n">
        <f aca="false">_Engine_R50!S89</f>
        <v>0.394845454110529</v>
      </c>
      <c r="BI18" s="180" t="n">
        <f aca="false">_Engine_R50!S90</f>
        <v>0.391554703796889</v>
      </c>
      <c r="BJ18" s="181" t="n">
        <f aca="false">_Engine_R50!S91</f>
        <v>0.388297917328672</v>
      </c>
      <c r="BK18" s="181" t="n">
        <f aca="false">_Engine_R50!S92</f>
        <v>0.385074696495472</v>
      </c>
      <c r="BL18" s="181" t="n">
        <f aca="false">_Engine_R50!S93</f>
        <v>0.381884648064638</v>
      </c>
      <c r="BM18" s="181" t="n">
        <f aca="false">_Engine_R50!S94</f>
        <v>0.378727383717059</v>
      </c>
      <c r="BN18" s="181" t="n">
        <f aca="false">_Engine_R50!S95</f>
        <v>0.375602519983785</v>
      </c>
      <c r="BO18" s="181" t="n">
        <f aca="false">_Engine_R50!S96</f>
        <v>0.372509678183479</v>
      </c>
      <c r="BP18" s="181" t="n">
        <f aca="false">_Engine_R50!S97</f>
        <v>0.369448484360697</v>
      </c>
      <c r="BQ18" s="181" t="n">
        <f aca="false">_Engine_R50!S98</f>
        <v>0.366418569224968</v>
      </c>
      <c r="BR18" s="181" t="n">
        <f aca="false">_Engine_R50!S99</f>
        <v>0.363419568090675</v>
      </c>
      <c r="BS18" s="181" t="n">
        <f aca="false">_Engine_R50!S100</f>
        <v>0.360451120817733</v>
      </c>
      <c r="BT18" s="181" t="n">
        <f aca="false">_Engine_R50!S101</f>
        <v>0.357512871753029</v>
      </c>
      <c r="BU18" s="181" t="n">
        <f aca="false">_Engine_R50!S102</f>
        <v>0.354604469672641</v>
      </c>
      <c r="BV18" s="180" t="n">
        <f aca="false">_Engine_R50!S103</f>
        <v>0.351725567724811</v>
      </c>
      <c r="BW18" s="180" t="n">
        <f aca="false">_Engine_R50!S104</f>
        <v>0.348875823373666</v>
      </c>
      <c r="BX18" s="180" t="n">
        <f aca="false">_Engine_R50!S105</f>
        <v>0.346054898343671</v>
      </c>
      <c r="BY18" s="180" t="n">
        <f aca="false">_Engine_R50!S106</f>
        <v>0.343262458564819</v>
      </c>
      <c r="BZ18" s="180" t="n">
        <f aca="false">_Engine_R50!S107</f>
        <v>0.340498174118528</v>
      </c>
      <c r="CA18" s="180" t="n">
        <f aca="false">_Engine_R50!S108</f>
        <v>0.337761719184256</v>
      </c>
      <c r="CB18" s="180" t="n">
        <f aca="false">_Engine_R50!S109</f>
        <v>0.33505277198681</v>
      </c>
      <c r="CC18" s="180" t="n">
        <f aca="false">_Engine_R50!S110</f>
        <v>0.332371014744343</v>
      </c>
      <c r="CD18" s="180" t="n">
        <f aca="false">_Engine_R50!S111</f>
        <v>0.329716133617038</v>
      </c>
      <c r="CE18" s="180" t="n">
        <f aca="false">_Engine_R50!S112</f>
        <v>0.32708781865646</v>
      </c>
      <c r="CF18" s="180" t="n">
        <f aca="false">_Engine_R50!S113</f>
        <v>0.324485763755565</v>
      </c>
      <c r="CG18" s="180" t="n">
        <f aca="false">_Engine_R50!S114</f>
        <v>0.321909666599377</v>
      </c>
      <c r="CH18" s="181" t="n">
        <f aca="false">_Engine_R50!S115</f>
        <v>0.319359228616296</v>
      </c>
      <c r="CI18" s="181" t="n">
        <f aca="false">_Engine_R50!S116</f>
        <v>0.316834154930052</v>
      </c>
      <c r="CJ18" s="181" t="n">
        <f aca="false">_Engine_R50!S117</f>
        <v>0.314334154312281</v>
      </c>
      <c r="CK18" s="181" t="n">
        <f aca="false">_Engine_R50!S118</f>
        <v>0.311858939135728</v>
      </c>
      <c r="CL18" s="181" t="n">
        <f aca="false">_Engine_R50!S119</f>
        <v>0.309408225328059</v>
      </c>
      <c r="CM18" s="181" t="n">
        <f aca="false">_Engine_R50!S120</f>
        <v>0.30698173232627</v>
      </c>
      <c r="CN18" s="181" t="n">
        <f aca="false">_Engine_R50!S121</f>
        <v>0.304579183031707</v>
      </c>
      <c r="CO18" s="181" t="n">
        <f aca="false">_Engine_R50!S122</f>
        <v>0.302200303765655</v>
      </c>
      <c r="CP18" s="181" t="n">
        <f aca="false">_Engine_R50!S123</f>
        <v>0.299844824225527</v>
      </c>
      <c r="CQ18" s="181" t="n">
        <f aca="false">_Engine_R50!S124</f>
        <v>0.297512477441608</v>
      </c>
      <c r="CR18" s="181" t="n">
        <f aca="false">_Engine_R50!S125</f>
        <v>0.295202999734376</v>
      </c>
      <c r="CS18" s="181" t="n">
        <f aca="false">_Engine_R50!S126</f>
        <v>0.292916130672374</v>
      </c>
      <c r="CT18" s="180" t="n">
        <f aca="false">_Engine_R50!S127</f>
        <v>0.290651613030634</v>
      </c>
      <c r="CU18" s="180" t="n">
        <f aca="false">_Engine_R50!S128</f>
        <v>0.28840919274965</v>
      </c>
      <c r="CV18" s="180" t="n">
        <f aca="false">_Engine_R50!S129</f>
        <v>0.286188618894871</v>
      </c>
      <c r="CW18" s="180" t="n">
        <f aca="false">_Engine_R50!S130</f>
        <v>0.28398964361674</v>
      </c>
      <c r="CX18" s="180" t="n">
        <f aca="false">_Engine_R50!S131</f>
        <v>0.281812022111247</v>
      </c>
      <c r="CY18" s="180" t="n">
        <f aca="false">_Engine_R50!S132</f>
        <v>0.279655512580991</v>
      </c>
      <c r="CZ18" s="180" t="n">
        <f aca="false">_Engine_R50!S133</f>
        <v>0.277519876196765</v>
      </c>
      <c r="DA18" s="180" t="n">
        <f aca="false">_Engine_R50!S134</f>
        <v>0.275404877059623</v>
      </c>
      <c r="DB18" s="180" t="n">
        <f aca="false">_Engine_R50!S135</f>
        <v>0.273310282163462</v>
      </c>
      <c r="DC18" s="180" t="n">
        <f aca="false">_Engine_R50!S136</f>
        <v>0.271235861358075</v>
      </c>
      <c r="DD18" s="180" t="n">
        <f aca="false">_Engine_R50!S137</f>
        <v>0.269181387312694</v>
      </c>
      <c r="DE18" s="180" t="n">
        <f aca="false">_Engine_R50!S138</f>
        <v>0.267146635480011</v>
      </c>
      <c r="DF18" s="181" t="n">
        <f aca="false">_Engine_R50!S139</f>
        <v>0.26513138406066</v>
      </c>
      <c r="DG18" s="181" t="n">
        <f aca="false">_Engine_R50!S140</f>
        <v>0.263135413968166</v>
      </c>
      <c r="DH18" s="181" t="n">
        <f aca="false">_Engine_R50!S141</f>
        <v>0.261158508794353</v>
      </c>
      <c r="DI18" s="181" t="n">
        <f aca="false">_Engine_R50!S142</f>
        <v>0.259200454775201</v>
      </c>
      <c r="DJ18" s="181" t="n">
        <f aca="false">_Engine_R50!S143</f>
        <v>0.257261040757144</v>
      </c>
      <c r="DK18" s="181" t="n">
        <f aca="false">_Engine_R50!S144</f>
        <v>0.255340058163814</v>
      </c>
      <c r="DL18" s="181" t="n">
        <f aca="false">_Engine_R50!S145</f>
        <v>0.25343730096321</v>
      </c>
      <c r="DM18" s="181" t="n">
        <f aca="false">_Engine_R50!S146</f>
        <v>0.251552565635305</v>
      </c>
      <c r="DN18" s="181" t="n">
        <f aca="false">_Engine_R50!S147</f>
        <v>0.249685651140062</v>
      </c>
      <c r="DO18" s="181" t="n">
        <f aca="false">_Engine_R50!S148</f>
        <v>0.247836358885879</v>
      </c>
      <c r="DP18" s="181" t="n">
        <f aca="false">_Engine_R50!S149</f>
        <v>0.246004492698433</v>
      </c>
      <c r="DQ18" s="181" t="n">
        <f aca="false">_Engine_R50!S150</f>
        <v>0.244189858789941</v>
      </c>
      <c r="DR18" s="180" t="n">
        <f aca="false">_Engine_R50!S151</f>
        <v>0.242392265728809</v>
      </c>
      <c r="DS18" s="180" t="n">
        <f aca="false">_Engine_R50!S152</f>
        <v>0.240611524409687</v>
      </c>
      <c r="DT18" s="180" t="n">
        <f aca="false">_Engine_R50!S153</f>
        <v>0.238847448023905</v>
      </c>
      <c r="DU18" s="180" t="n">
        <f aca="false">_Engine_R50!S154</f>
        <v>0.237099852030297</v>
      </c>
      <c r="DV18" s="180" t="n">
        <f aca="false">_Engine_R50!S155</f>
        <v>0.235368554126405</v>
      </c>
      <c r="DW18" s="180" t="n">
        <f aca="false">_Engine_R50!S156</f>
        <v>0.233653374220058</v>
      </c>
      <c r="DX18" s="180" t="n">
        <f aca="false">_Engine_R50!S157</f>
        <v>0.231954134401314</v>
      </c>
      <c r="DY18" s="180" t="n">
        <f aca="false">_Engine_R50!S158</f>
        <v>0.230270658914778</v>
      </c>
      <c r="DZ18" s="180" t="n">
        <f aca="false">_Engine_R50!S159</f>
        <v>0.228602774132266</v>
      </c>
      <c r="EA18" s="180" t="n">
        <f aca="false">_Engine_R50!S160</f>
        <v>0.226950308525836</v>
      </c>
      <c r="EB18" s="180" t="n">
        <f aca="false">_Engine_R50!S161</f>
        <v>0.225313092641163</v>
      </c>
      <c r="EC18" s="180" t="n">
        <f aca="false">_Engine_R50!S162</f>
        <v>0.223690959071261</v>
      </c>
      <c r="ED18" s="181" t="n">
        <f aca="false">_Engine_R50!S163</f>
        <v>0.222083742430548</v>
      </c>
      <c r="EE18" s="181" t="n">
        <f aca="false">_Engine_R50!S164</f>
        <v>0.220491279329242</v>
      </c>
      <c r="EF18" s="181" t="n">
        <f aca="false">_Engine_R50!S165</f>
        <v>0.218913408348098</v>
      </c>
      <c r="EG18" s="181" t="n">
        <f aca="false">_Engine_R50!S166</f>
        <v>0.217349970013466</v>
      </c>
      <c r="EH18" s="181" t="n">
        <f aca="false">_Engine_R50!S167</f>
        <v>0.215800806772674</v>
      </c>
      <c r="EI18" s="181" t="n">
        <f aca="false">_Engine_R50!S168</f>
        <v>0.214265762969733</v>
      </c>
      <c r="EJ18" s="181" t="n">
        <f aca="false">_Engine_R50!S169</f>
        <v>0.212744684821355</v>
      </c>
      <c r="EK18" s="181" t="n">
        <f aca="false">_Engine_R50!S170</f>
        <v>0.211237420393279</v>
      </c>
      <c r="EL18" s="181" t="n">
        <f aca="false">_Engine_R50!S171</f>
        <v>0.209743819576913</v>
      </c>
      <c r="EM18" s="181" t="n">
        <f aca="false">_Engine_R50!S172</f>
        <v>0.208263734066267</v>
      </c>
      <c r="EN18" s="181" t="n">
        <f aca="false">_Engine_R50!S173</f>
        <v>0.206797017335193</v>
      </c>
      <c r="EO18" s="181" t="n">
        <f aca="false">_Engine_R50!S174</f>
        <v>0.205343524614922</v>
      </c>
      <c r="EP18" s="180" t="n">
        <f aca="false">_Engine_R50!S175</f>
        <v>0.203903112871878</v>
      </c>
      <c r="EQ18" s="180" t="n">
        <f aca="false">_Engine_R50!S176</f>
        <v>0.202475640785801</v>
      </c>
      <c r="ER18" s="180" t="n">
        <f aca="false">_Engine_R50!S177</f>
        <v>0.201060968728132</v>
      </c>
      <c r="ES18" s="180" t="n">
        <f aca="false">_Engine_R50!S178</f>
        <v>0.19965895874069</v>
      </c>
      <c r="ET18" s="180" t="n">
        <f aca="false">_Engine_R50!S179</f>
        <v>0.198269474514626</v>
      </c>
      <c r="EU18" s="180" t="n">
        <f aca="false">_Engine_R50!S180</f>
        <v>0.196892381369641</v>
      </c>
      <c r="EV18" s="180" t="n">
        <f aca="false">_Engine_R50!S181</f>
        <v>0.19552754623348</v>
      </c>
      <c r="EW18" s="180" t="n">
        <f aca="false">_Engine_R50!S182</f>
        <v>0.194174837621688</v>
      </c>
      <c r="EX18" s="180" t="n">
        <f aca="false">_Engine_R50!S183</f>
        <v>0.19283412561763</v>
      </c>
      <c r="EY18" s="180" t="n">
        <f aca="false">_Engine_R50!S184</f>
        <v>0.191505281852766</v>
      </c>
      <c r="EZ18" s="180" t="n">
        <f aca="false">_Engine_R50!S185</f>
        <v>0.190188179487185</v>
      </c>
      <c r="FA18" s="180" t="n">
        <f aca="false">_Engine_R50!S186</f>
        <v>0.188882693190391</v>
      </c>
      <c r="FB18" s="181" t="n">
        <f aca="false">_Engine_R50!S187</f>
        <v>0.187588699122329</v>
      </c>
      <c r="FC18" s="181" t="n">
        <f aca="false">_Engine_R50!S188</f>
        <v>0.186306074914669</v>
      </c>
      <c r="FD18" s="181" t="n">
        <f aca="false">_Engine_R50!S189</f>
        <v>0.185034699652321</v>
      </c>
      <c r="FE18" s="181" t="n">
        <f aca="false">_Engine_R50!S190</f>
        <v>0.183774453855193</v>
      </c>
      <c r="FF18" s="181" t="n">
        <f aca="false">_Engine_R50!S191</f>
        <v>0.18252521946019</v>
      </c>
      <c r="FG18" s="181" t="n">
        <f aca="false">_Engine_R50!S192</f>
        <v>0.181286879803431</v>
      </c>
      <c r="FH18" s="181" t="n">
        <f aca="false">_Engine_R50!S193</f>
        <v>0.180059319602713</v>
      </c>
      <c r="FI18" s="181" t="n">
        <f aca="false">_Engine_R50!S194</f>
        <v>0.178842424940188</v>
      </c>
      <c r="FJ18" s="181" t="n">
        <f aca="false">_Engine_R50!S195</f>
        <v>0.177636083245268</v>
      </c>
      <c r="FK18" s="181" t="n">
        <f aca="false">_Engine_R50!S196</f>
        <v>0.176440183277756</v>
      </c>
      <c r="FL18" s="181" t="n">
        <f aca="false">_Engine_R50!S197</f>
        <v>0.175254615111184</v>
      </c>
      <c r="FM18" s="181" t="n">
        <f aca="false">_Engine_R50!S198</f>
        <v>0.174079270116373</v>
      </c>
      <c r="FN18" s="180" t="n">
        <f aca="false">_Engine_R50!S199</f>
        <v>0.172914040945205</v>
      </c>
      <c r="FO18" s="180" t="n">
        <f aca="false">_Engine_R50!S200</f>
        <v>0.1717588215146</v>
      </c>
      <c r="FP18" s="180" t="n">
        <f aca="false">_Engine_R50!S201</f>
        <v>0.170613506990706</v>
      </c>
      <c r="FQ18" s="180" t="n">
        <f aca="false">_Engine_R50!S202</f>
        <v>0.169477993773283</v>
      </c>
      <c r="FR18" s="180" t="n">
        <f aca="false">_Engine_R50!S203</f>
        <v>0.168352179480298</v>
      </c>
      <c r="FS18" s="180" t="n">
        <f aca="false">_Engine_R50!S204</f>
        <v>0.167235962932713</v>
      </c>
      <c r="FT18" s="180" t="n">
        <f aca="false">_Engine_R50!S205</f>
        <v>0.166129244139472</v>
      </c>
      <c r="FU18" s="180" t="n">
        <f aca="false">_Engine_R50!S206</f>
        <v>0.165031924282674</v>
      </c>
      <c r="FV18" s="180" t="n">
        <f aca="false">_Engine_R50!S207</f>
        <v>0.16394390570295</v>
      </c>
      <c r="FW18" s="180" t="n">
        <f aca="false">_Engine_R50!S208</f>
        <v>0.162865091885013</v>
      </c>
      <c r="FX18" s="180" t="n">
        <f aca="false">_Engine_R50!S209</f>
        <v>0.161795387443406</v>
      </c>
      <c r="FY18" s="180" t="n">
        <f aca="false">_Engine_R50!S210</f>
        <v>0.160734698108427</v>
      </c>
      <c r="FZ18" s="1"/>
    </row>
    <row r="19" customFormat="false" ht="15" hidden="false" customHeight="true" outlineLevel="0" collapsed="false">
      <c r="A19" s="18"/>
      <c r="B19" s="177" t="n">
        <f aca="false">_Engine_R50!D31</f>
        <v>0.288105825</v>
      </c>
      <c r="C19" s="177" t="n">
        <f aca="false">_Engine_R50!D32</f>
        <v>0.288105825</v>
      </c>
      <c r="D19" s="177" t="n">
        <f aca="false">_Engine_R50!D33</f>
        <v>0.288105825</v>
      </c>
      <c r="E19" s="177" t="n">
        <f aca="false">_Engine_R50!D34</f>
        <v>0.288105825</v>
      </c>
      <c r="F19" s="177" t="n">
        <f aca="false">_Engine_R50!D35</f>
        <v>0.288105825</v>
      </c>
      <c r="G19" s="177" t="n">
        <f aca="false">_Engine_R50!D36</f>
        <v>0.288105825</v>
      </c>
      <c r="H19" s="177" t="n">
        <f aca="false">_Engine_R50!D37</f>
        <v>0.288105825</v>
      </c>
      <c r="I19" s="177" t="n">
        <f aca="false">_Engine_R50!D38</f>
        <v>0.288105825</v>
      </c>
      <c r="J19" s="177" t="n">
        <f aca="false">_Engine_R50!D39</f>
        <v>0.288105825</v>
      </c>
      <c r="K19" s="177" t="n">
        <f aca="false">_Engine_R50!D40</f>
        <v>0.288105825</v>
      </c>
      <c r="L19" s="177" t="n">
        <f aca="false">_Engine_R50!D41</f>
        <v>0.288105825</v>
      </c>
      <c r="M19" s="177" t="n">
        <f aca="false">_Engine_R50!D42</f>
        <v>0.288105825</v>
      </c>
      <c r="N19" s="177" t="n">
        <f aca="false">_Engine_R50!D43</f>
        <v>0.633043658333333</v>
      </c>
      <c r="O19" s="177" t="n">
        <f aca="false">_Engine_R50!D44</f>
        <v>0.633043658333333</v>
      </c>
      <c r="P19" s="177" t="n">
        <f aca="false">_Engine_R50!D45</f>
        <v>0.633043658333333</v>
      </c>
      <c r="Q19" s="177" t="n">
        <f aca="false">_Engine_R50!D46</f>
        <v>0.633043658333333</v>
      </c>
      <c r="R19" s="177" t="n">
        <f aca="false">_Engine_R50!D47</f>
        <v>0.633043658333333</v>
      </c>
      <c r="S19" s="177" t="n">
        <f aca="false">_Engine_R50!D48</f>
        <v>0.633043658333333</v>
      </c>
      <c r="T19" s="177" t="n">
        <f aca="false">_Engine_R50!D49</f>
        <v>0.633043658333333</v>
      </c>
      <c r="U19" s="177" t="n">
        <f aca="false">_Engine_R50!D50</f>
        <v>0.633043658333333</v>
      </c>
      <c r="V19" s="177" t="n">
        <f aca="false">_Engine_R50!D51</f>
        <v>0.633043658333333</v>
      </c>
      <c r="W19" s="177" t="n">
        <f aca="false">_Engine_R50!D52</f>
        <v>0.633043658333333</v>
      </c>
      <c r="X19" s="177" t="n">
        <f aca="false">_Engine_R50!D53</f>
        <v>0.633043658333333</v>
      </c>
      <c r="Y19" s="177" t="n">
        <f aca="false">_Engine_R50!D54</f>
        <v>0.633043658333333</v>
      </c>
      <c r="Z19" s="177" t="n">
        <f aca="false">_Engine_R50!D55</f>
        <v>0.636416666666667</v>
      </c>
      <c r="AA19" s="177" t="n">
        <f aca="false">_Engine_R50!D56</f>
        <v>0.636416666666667</v>
      </c>
      <c r="AB19" s="177" t="n">
        <f aca="false">_Engine_R50!D57</f>
        <v>0.636416666666667</v>
      </c>
      <c r="AC19" s="177" t="n">
        <f aca="false">_Engine_R50!D58</f>
        <v>0.636416666666667</v>
      </c>
      <c r="AD19" s="177" t="n">
        <f aca="false">_Engine_R50!D59</f>
        <v>0.636416666666667</v>
      </c>
      <c r="AE19" s="177" t="n">
        <f aca="false">_Engine_R50!D60</f>
        <v>0.636416666666667</v>
      </c>
      <c r="AF19" s="177" t="n">
        <f aca="false">_Engine_R50!D61</f>
        <v>0.636416666666667</v>
      </c>
      <c r="AG19" s="177" t="n">
        <f aca="false">_Engine_R50!D62</f>
        <v>0.636416666666667</v>
      </c>
      <c r="AH19" s="177" t="n">
        <f aca="false">_Engine_R50!D63</f>
        <v>0.636416666666667</v>
      </c>
      <c r="AI19" s="177" t="n">
        <f aca="false">_Engine_R50!D64</f>
        <v>0.636416666666667</v>
      </c>
      <c r="AJ19" s="177" t="n">
        <f aca="false">_Engine_R50!D65</f>
        <v>0.636416666666667</v>
      </c>
      <c r="AK19" s="177" t="n">
        <f aca="false">_Engine_R50!D66</f>
        <v>0.636416666666667</v>
      </c>
      <c r="AL19" s="177" t="n">
        <f aca="false">_Engine_R50!D67</f>
        <v>0.636416666666667</v>
      </c>
      <c r="AM19" s="177" t="n">
        <f aca="false">_Engine_R50!D68</f>
        <v>0.636416666666667</v>
      </c>
      <c r="AN19" s="177" t="n">
        <f aca="false">_Engine_R50!D69</f>
        <v>0.636416666666667</v>
      </c>
      <c r="AO19" s="177" t="n">
        <f aca="false">_Engine_R50!D70</f>
        <v>0.636416666666667</v>
      </c>
      <c r="AP19" s="177" t="n">
        <f aca="false">_Engine_R50!D71</f>
        <v>0.636416666666667</v>
      </c>
      <c r="AQ19" s="177" t="n">
        <f aca="false">_Engine_R50!D72</f>
        <v>0.636416666666667</v>
      </c>
      <c r="AR19" s="177" t="n">
        <f aca="false">_Engine_R50!D73</f>
        <v>0.636416666666667</v>
      </c>
      <c r="AS19" s="177" t="n">
        <f aca="false">_Engine_R50!D74</f>
        <v>0.636416666666667</v>
      </c>
      <c r="AT19" s="177" t="n">
        <f aca="false">_Engine_R50!D75</f>
        <v>0.636416666666667</v>
      </c>
      <c r="AU19" s="177" t="n">
        <f aca="false">_Engine_R50!D76</f>
        <v>0.636416666666667</v>
      </c>
      <c r="AV19" s="177" t="n">
        <f aca="false">_Engine_R50!D77</f>
        <v>0.636416666666667</v>
      </c>
      <c r="AW19" s="177" t="n">
        <f aca="false">_Engine_R50!D78</f>
        <v>0.636416666666667</v>
      </c>
      <c r="AX19" s="177" t="n">
        <f aca="false">_Engine_R50!D79</f>
        <v>0.636416666666667</v>
      </c>
      <c r="AY19" s="177" t="n">
        <f aca="false">_Engine_R50!D80</f>
        <v>0.636416666666667</v>
      </c>
      <c r="AZ19" s="177" t="n">
        <f aca="false">_Engine_R50!D81</f>
        <v>0.636416666666667</v>
      </c>
      <c r="BA19" s="177" t="n">
        <f aca="false">_Engine_R50!D82</f>
        <v>0.636416666666667</v>
      </c>
      <c r="BB19" s="177" t="n">
        <f aca="false">_Engine_R50!D83</f>
        <v>0.636416666666667</v>
      </c>
      <c r="BC19" s="177" t="n">
        <f aca="false">_Engine_R50!D84</f>
        <v>0.636416666666667</v>
      </c>
      <c r="BD19" s="177" t="n">
        <f aca="false">_Engine_R50!D85</f>
        <v>0.636416666666667</v>
      </c>
      <c r="BE19" s="177" t="n">
        <f aca="false">_Engine_R50!D86</f>
        <v>0.636416666666667</v>
      </c>
      <c r="BF19" s="177" t="n">
        <f aca="false">_Engine_R50!D87</f>
        <v>0.636416666666667</v>
      </c>
      <c r="BG19" s="177" t="n">
        <f aca="false">_Engine_R50!D88</f>
        <v>0.636416666666667</v>
      </c>
      <c r="BH19" s="177" t="n">
        <f aca="false">_Engine_R50!D89</f>
        <v>0.636416666666667</v>
      </c>
      <c r="BI19" s="177" t="n">
        <f aca="false">_Engine_R50!D90</f>
        <v>0.636416666666667</v>
      </c>
      <c r="BJ19" s="177" t="n">
        <f aca="false">_Engine_R50!D91</f>
        <v>0.636416666666667</v>
      </c>
      <c r="BK19" s="177" t="n">
        <f aca="false">_Engine_R50!D92</f>
        <v>0.636416666666667</v>
      </c>
      <c r="BL19" s="177" t="n">
        <f aca="false">_Engine_R50!D93</f>
        <v>0.636416666666667</v>
      </c>
      <c r="BM19" s="177" t="n">
        <f aca="false">_Engine_R50!D94</f>
        <v>0.636416666666667</v>
      </c>
      <c r="BN19" s="177" t="n">
        <f aca="false">_Engine_R50!D95</f>
        <v>0.636416666666667</v>
      </c>
      <c r="BO19" s="177" t="n">
        <f aca="false">_Engine_R50!D96</f>
        <v>0.636416666666667</v>
      </c>
      <c r="BP19" s="177" t="n">
        <f aca="false">_Engine_R50!D97</f>
        <v>0.636416666666667</v>
      </c>
      <c r="BQ19" s="177" t="n">
        <f aca="false">_Engine_R50!D98</f>
        <v>0.636416666666667</v>
      </c>
      <c r="BR19" s="177" t="n">
        <f aca="false">_Engine_R50!D99</f>
        <v>0.636416666666667</v>
      </c>
      <c r="BS19" s="177" t="n">
        <f aca="false">_Engine_R50!D100</f>
        <v>0.636416666666667</v>
      </c>
      <c r="BT19" s="177" t="n">
        <f aca="false">_Engine_R50!D101</f>
        <v>0.636416666666667</v>
      </c>
      <c r="BU19" s="177" t="n">
        <f aca="false">_Engine_R50!D102</f>
        <v>0.636416666666667</v>
      </c>
      <c r="BV19" s="177" t="n">
        <f aca="false">_Engine_R50!D103</f>
        <v>0.636416666666667</v>
      </c>
      <c r="BW19" s="177" t="n">
        <f aca="false">_Engine_R50!D104</f>
        <v>0.636416666666667</v>
      </c>
      <c r="BX19" s="177" t="n">
        <f aca="false">_Engine_R50!D105</f>
        <v>0.636416666666667</v>
      </c>
      <c r="BY19" s="177" t="n">
        <f aca="false">_Engine_R50!D106</f>
        <v>0.636416666666667</v>
      </c>
      <c r="BZ19" s="177" t="n">
        <f aca="false">_Engine_R50!D107</f>
        <v>0.636416666666667</v>
      </c>
      <c r="CA19" s="177" t="n">
        <f aca="false">_Engine_R50!D108</f>
        <v>0.636416666666667</v>
      </c>
      <c r="CB19" s="177" t="n">
        <f aca="false">_Engine_R50!D109</f>
        <v>0.636416666666667</v>
      </c>
      <c r="CC19" s="177" t="n">
        <f aca="false">_Engine_R50!D110</f>
        <v>0.636416666666667</v>
      </c>
      <c r="CD19" s="177" t="n">
        <f aca="false">_Engine_R50!D111</f>
        <v>0.636416666666667</v>
      </c>
      <c r="CE19" s="177" t="n">
        <f aca="false">_Engine_R50!D112</f>
        <v>0.636416666666667</v>
      </c>
      <c r="CF19" s="177" t="n">
        <f aca="false">_Engine_R50!D113</f>
        <v>0.636416666666667</v>
      </c>
      <c r="CG19" s="177" t="n">
        <f aca="false">_Engine_R50!D114</f>
        <v>0.636416666666667</v>
      </c>
      <c r="CH19" s="177" t="n">
        <f aca="false">_Engine_R50!D115</f>
        <v>0.636416666666667</v>
      </c>
      <c r="CI19" s="177" t="n">
        <f aca="false">_Engine_R50!D116</f>
        <v>0.636416666666667</v>
      </c>
      <c r="CJ19" s="177" t="n">
        <f aca="false">_Engine_R50!D117</f>
        <v>0.636416666666667</v>
      </c>
      <c r="CK19" s="177" t="n">
        <f aca="false">_Engine_R50!D118</f>
        <v>0.636416666666667</v>
      </c>
      <c r="CL19" s="177" t="n">
        <f aca="false">_Engine_R50!D119</f>
        <v>0.636416666666667</v>
      </c>
      <c r="CM19" s="177" t="n">
        <f aca="false">_Engine_R50!D120</f>
        <v>0.636416666666667</v>
      </c>
      <c r="CN19" s="177" t="n">
        <f aca="false">_Engine_R50!D121</f>
        <v>0.636416666666667</v>
      </c>
      <c r="CO19" s="177" t="n">
        <f aca="false">_Engine_R50!D122</f>
        <v>0.636416666666667</v>
      </c>
      <c r="CP19" s="177" t="n">
        <f aca="false">_Engine_R50!D123</f>
        <v>0.636416666666667</v>
      </c>
      <c r="CQ19" s="177" t="n">
        <f aca="false">_Engine_R50!D124</f>
        <v>0.636416666666667</v>
      </c>
      <c r="CR19" s="177" t="n">
        <f aca="false">_Engine_R50!D125</f>
        <v>0.636416666666667</v>
      </c>
      <c r="CS19" s="177" t="n">
        <f aca="false">_Engine_R50!D126</f>
        <v>0.636416666666667</v>
      </c>
      <c r="CT19" s="177" t="n">
        <f aca="false">_Engine_R50!D127</f>
        <v>0.636416666666667</v>
      </c>
      <c r="CU19" s="177" t="n">
        <f aca="false">_Engine_R50!D128</f>
        <v>0.636416666666667</v>
      </c>
      <c r="CV19" s="177" t="n">
        <f aca="false">_Engine_R50!D129</f>
        <v>0.636416666666667</v>
      </c>
      <c r="CW19" s="177" t="n">
        <f aca="false">_Engine_R50!D130</f>
        <v>0.636416666666667</v>
      </c>
      <c r="CX19" s="177" t="n">
        <f aca="false">_Engine_R50!D131</f>
        <v>0.636416666666667</v>
      </c>
      <c r="CY19" s="177" t="n">
        <f aca="false">_Engine_R50!D132</f>
        <v>0.636416666666667</v>
      </c>
      <c r="CZ19" s="177" t="n">
        <f aca="false">_Engine_R50!D133</f>
        <v>0.636416666666667</v>
      </c>
      <c r="DA19" s="177" t="n">
        <f aca="false">_Engine_R50!D134</f>
        <v>0.636416666666667</v>
      </c>
      <c r="DB19" s="177" t="n">
        <f aca="false">_Engine_R50!D135</f>
        <v>0.636416666666667</v>
      </c>
      <c r="DC19" s="177" t="n">
        <f aca="false">_Engine_R50!D136</f>
        <v>0.636416666666667</v>
      </c>
      <c r="DD19" s="177" t="n">
        <f aca="false">_Engine_R50!D137</f>
        <v>0.636416666666667</v>
      </c>
      <c r="DE19" s="177" t="n">
        <f aca="false">_Engine_R50!D138</f>
        <v>0.636416666666667</v>
      </c>
      <c r="DF19" s="177" t="n">
        <f aca="false">_Engine_R50!D139</f>
        <v>0.636416666666667</v>
      </c>
      <c r="DG19" s="177" t="n">
        <f aca="false">_Engine_R50!D140</f>
        <v>0.636416666666667</v>
      </c>
      <c r="DH19" s="177" t="n">
        <f aca="false">_Engine_R50!D141</f>
        <v>0.636416666666667</v>
      </c>
      <c r="DI19" s="177" t="n">
        <f aca="false">_Engine_R50!D142</f>
        <v>0.636416666666667</v>
      </c>
      <c r="DJ19" s="177" t="n">
        <f aca="false">_Engine_R50!D143</f>
        <v>0.636416666666667</v>
      </c>
      <c r="DK19" s="177" t="n">
        <f aca="false">_Engine_R50!D144</f>
        <v>0.636416666666667</v>
      </c>
      <c r="DL19" s="177" t="n">
        <f aca="false">_Engine_R50!D145</f>
        <v>0.636416666666667</v>
      </c>
      <c r="DM19" s="177" t="n">
        <f aca="false">_Engine_R50!D146</f>
        <v>0.636416666666667</v>
      </c>
      <c r="DN19" s="177" t="n">
        <f aca="false">_Engine_R50!D147</f>
        <v>0.636416666666667</v>
      </c>
      <c r="DO19" s="177" t="n">
        <f aca="false">_Engine_R50!D148</f>
        <v>0.636416666666667</v>
      </c>
      <c r="DP19" s="177" t="n">
        <f aca="false">_Engine_R50!D149</f>
        <v>0.636416666666667</v>
      </c>
      <c r="DQ19" s="177" t="n">
        <f aca="false">_Engine_R50!D150</f>
        <v>0.636416666666667</v>
      </c>
      <c r="DR19" s="177" t="n">
        <f aca="false">_Engine_R50!D151</f>
        <v>0.636416666666667</v>
      </c>
      <c r="DS19" s="177" t="n">
        <f aca="false">_Engine_R50!D152</f>
        <v>0.636416666666667</v>
      </c>
      <c r="DT19" s="177" t="n">
        <f aca="false">_Engine_R50!D153</f>
        <v>0.636416666666667</v>
      </c>
      <c r="DU19" s="177" t="n">
        <f aca="false">_Engine_R50!D154</f>
        <v>0.636416666666667</v>
      </c>
      <c r="DV19" s="177" t="n">
        <f aca="false">_Engine_R50!D155</f>
        <v>0.636416666666667</v>
      </c>
      <c r="DW19" s="177" t="n">
        <f aca="false">_Engine_R50!D156</f>
        <v>0.636416666666667</v>
      </c>
      <c r="DX19" s="177" t="n">
        <f aca="false">_Engine_R50!D157</f>
        <v>0.636416666666667</v>
      </c>
      <c r="DY19" s="177" t="n">
        <f aca="false">_Engine_R50!D158</f>
        <v>0.636416666666667</v>
      </c>
      <c r="DZ19" s="177" t="n">
        <f aca="false">_Engine_R50!D159</f>
        <v>0.636416666666667</v>
      </c>
      <c r="EA19" s="177" t="n">
        <f aca="false">_Engine_R50!D160</f>
        <v>0.636416666666667</v>
      </c>
      <c r="EB19" s="177" t="n">
        <f aca="false">_Engine_R50!D161</f>
        <v>0.636416666666667</v>
      </c>
      <c r="EC19" s="177" t="n">
        <f aca="false">_Engine_R50!D162</f>
        <v>0.636416666666667</v>
      </c>
      <c r="ED19" s="177" t="n">
        <f aca="false">_Engine_R50!D163</f>
        <v>0.636416666666667</v>
      </c>
      <c r="EE19" s="177" t="n">
        <f aca="false">_Engine_R50!D164</f>
        <v>0.636416666666667</v>
      </c>
      <c r="EF19" s="177" t="n">
        <f aca="false">_Engine_R50!D165</f>
        <v>0.636416666666667</v>
      </c>
      <c r="EG19" s="177" t="n">
        <f aca="false">_Engine_R50!D166</f>
        <v>0.636416666666667</v>
      </c>
      <c r="EH19" s="177" t="n">
        <f aca="false">_Engine_R50!D167</f>
        <v>0.636416666666667</v>
      </c>
      <c r="EI19" s="177" t="n">
        <f aca="false">_Engine_R50!D168</f>
        <v>0.636416666666667</v>
      </c>
      <c r="EJ19" s="177" t="n">
        <f aca="false">_Engine_R50!D169</f>
        <v>0.636416666666667</v>
      </c>
      <c r="EK19" s="177" t="n">
        <f aca="false">_Engine_R50!D170</f>
        <v>0.636416666666667</v>
      </c>
      <c r="EL19" s="177" t="n">
        <f aca="false">_Engine_R50!D171</f>
        <v>0.636416666666667</v>
      </c>
      <c r="EM19" s="177" t="n">
        <f aca="false">_Engine_R50!D172</f>
        <v>0.636416666666667</v>
      </c>
      <c r="EN19" s="177" t="n">
        <f aca="false">_Engine_R50!D173</f>
        <v>0.636416666666667</v>
      </c>
      <c r="EO19" s="177" t="n">
        <f aca="false">_Engine_R50!D174</f>
        <v>0.636416666666667</v>
      </c>
      <c r="EP19" s="177" t="n">
        <f aca="false">_Engine_R50!D175</f>
        <v>0.636416666666667</v>
      </c>
      <c r="EQ19" s="177" t="n">
        <f aca="false">_Engine_R50!D176</f>
        <v>0.636416666666667</v>
      </c>
      <c r="ER19" s="177" t="n">
        <f aca="false">_Engine_R50!D177</f>
        <v>0.636416666666667</v>
      </c>
      <c r="ES19" s="177" t="n">
        <f aca="false">_Engine_R50!D178</f>
        <v>0.636416666666667</v>
      </c>
      <c r="ET19" s="177" t="n">
        <f aca="false">_Engine_R50!D179</f>
        <v>0.636416666666667</v>
      </c>
      <c r="EU19" s="177" t="n">
        <f aca="false">_Engine_R50!D180</f>
        <v>0.636416666666667</v>
      </c>
      <c r="EV19" s="177" t="n">
        <f aca="false">_Engine_R50!D181</f>
        <v>0.636416666666667</v>
      </c>
      <c r="EW19" s="177" t="n">
        <f aca="false">_Engine_R50!D182</f>
        <v>0.636416666666667</v>
      </c>
      <c r="EX19" s="177" t="n">
        <f aca="false">_Engine_R50!D183</f>
        <v>0.636416666666667</v>
      </c>
      <c r="EY19" s="177" t="n">
        <f aca="false">_Engine_R50!D184</f>
        <v>0.636416666666667</v>
      </c>
      <c r="EZ19" s="177" t="n">
        <f aca="false">_Engine_R50!D185</f>
        <v>0.636416666666667</v>
      </c>
      <c r="FA19" s="177" t="n">
        <f aca="false">_Engine_R50!D186</f>
        <v>0.636416666666667</v>
      </c>
      <c r="FB19" s="177" t="n">
        <f aca="false">_Engine_R50!D187</f>
        <v>0.636416666666667</v>
      </c>
      <c r="FC19" s="177" t="n">
        <f aca="false">_Engine_R50!D188</f>
        <v>0.636416666666667</v>
      </c>
      <c r="FD19" s="177" t="n">
        <f aca="false">_Engine_R50!D189</f>
        <v>0.636416666666667</v>
      </c>
      <c r="FE19" s="177" t="n">
        <f aca="false">_Engine_R50!D190</f>
        <v>0.636416666666667</v>
      </c>
      <c r="FF19" s="177" t="n">
        <f aca="false">_Engine_R50!D191</f>
        <v>0.636416666666667</v>
      </c>
      <c r="FG19" s="177" t="n">
        <f aca="false">_Engine_R50!D192</f>
        <v>0.636416666666667</v>
      </c>
      <c r="FH19" s="177" t="n">
        <f aca="false">_Engine_R50!D193</f>
        <v>0.636416666666667</v>
      </c>
      <c r="FI19" s="177" t="n">
        <f aca="false">_Engine_R50!D194</f>
        <v>0.636416666666667</v>
      </c>
      <c r="FJ19" s="177" t="n">
        <f aca="false">_Engine_R50!D195</f>
        <v>0.636416666666667</v>
      </c>
      <c r="FK19" s="177" t="n">
        <f aca="false">_Engine_R50!D196</f>
        <v>0.636416666666667</v>
      </c>
      <c r="FL19" s="177" t="n">
        <f aca="false">_Engine_R50!D197</f>
        <v>0.636416666666667</v>
      </c>
      <c r="FM19" s="177" t="n">
        <f aca="false">_Engine_R50!D198</f>
        <v>0.636416666666667</v>
      </c>
      <c r="FN19" s="177" t="n">
        <f aca="false">_Engine_R50!D199</f>
        <v>0.636416666666667</v>
      </c>
      <c r="FO19" s="177" t="n">
        <f aca="false">_Engine_R50!D200</f>
        <v>0.636416666666667</v>
      </c>
      <c r="FP19" s="177" t="n">
        <f aca="false">_Engine_R50!D201</f>
        <v>0.636416666666667</v>
      </c>
      <c r="FQ19" s="177" t="n">
        <f aca="false">_Engine_R50!D202</f>
        <v>0.636416666666667</v>
      </c>
      <c r="FR19" s="177" t="n">
        <f aca="false">_Engine_R50!D203</f>
        <v>0.636416666666667</v>
      </c>
      <c r="FS19" s="177" t="n">
        <f aca="false">_Engine_R50!D204</f>
        <v>0.636416666666667</v>
      </c>
      <c r="FT19" s="177" t="n">
        <f aca="false">_Engine_R50!D205</f>
        <v>0.636416666666667</v>
      </c>
      <c r="FU19" s="177" t="n">
        <f aca="false">_Engine_R50!D206</f>
        <v>0.636416666666667</v>
      </c>
      <c r="FV19" s="177" t="n">
        <f aca="false">_Engine_R50!D207</f>
        <v>0.636416666666667</v>
      </c>
      <c r="FW19" s="177" t="n">
        <f aca="false">_Engine_R50!D208</f>
        <v>0.636416666666667</v>
      </c>
      <c r="FX19" s="177" t="n">
        <f aca="false">_Engine_R50!D209</f>
        <v>0.636416666666667</v>
      </c>
      <c r="FY19" s="177" t="n">
        <f aca="false">_Engine_R50!D210</f>
        <v>0.636416666666667</v>
      </c>
      <c r="FZ19" s="1"/>
    </row>
    <row r="20" customFormat="false" ht="15" hidden="false" customHeight="true" outlineLevel="0" collapsed="false">
      <c r="A20" s="17" t="s">
        <v>238</v>
      </c>
      <c r="B20" s="170" t="n">
        <f aca="false">_Engine_R50!E31</f>
        <v>0</v>
      </c>
      <c r="C20" s="170" t="n">
        <f aca="false">_Engine_R50!E32</f>
        <v>0</v>
      </c>
      <c r="D20" s="170" t="n">
        <f aca="false">_Engine_R50!E33</f>
        <v>0</v>
      </c>
      <c r="E20" s="170" t="n">
        <f aca="false">_Engine_R50!E34</f>
        <v>1.16666666666667</v>
      </c>
      <c r="F20" s="170" t="n">
        <f aca="false">_Engine_R50!E35</f>
        <v>0.98</v>
      </c>
      <c r="G20" s="170" t="n">
        <f aca="false">_Engine_R50!E36</f>
        <v>0.793333333333333</v>
      </c>
      <c r="H20" s="170" t="n">
        <f aca="false">_Engine_R50!E37</f>
        <v>0.606666666666667</v>
      </c>
      <c r="I20" s="170" t="n">
        <f aca="false">_Engine_R50!E38</f>
        <v>1.58666666666667</v>
      </c>
      <c r="J20" s="170" t="n">
        <f aca="false">_Engine_R50!E39</f>
        <v>1.21333333333333</v>
      </c>
      <c r="K20" s="170" t="n">
        <f aca="false">_Engine_R50!E40</f>
        <v>1.0137037037037</v>
      </c>
      <c r="L20" s="170" t="n">
        <f aca="false">_Engine_R50!E41</f>
        <v>0.814074074074074</v>
      </c>
      <c r="M20" s="170" t="n">
        <f aca="false">_Engine_R50!E42</f>
        <v>1.78111111111111</v>
      </c>
      <c r="N20" s="46" t="n">
        <f aca="false">_Engine_R50!E43</f>
        <v>1.39481481481481</v>
      </c>
      <c r="O20" s="46" t="n">
        <f aca="false">_Engine_R50!E44</f>
        <v>1.18222222222222</v>
      </c>
      <c r="P20" s="46" t="n">
        <f aca="false">_Engine_R50!E45</f>
        <v>0.96962962962963</v>
      </c>
      <c r="Q20" s="46" t="n">
        <f aca="false">_Engine_R50!E46</f>
        <v>1.9237037037037</v>
      </c>
      <c r="R20" s="46" t="n">
        <f aca="false">_Engine_R50!E47</f>
        <v>1.52444444444444</v>
      </c>
      <c r="S20" s="46" t="n">
        <f aca="false">_Engine_R50!E48</f>
        <v>1.29888888888889</v>
      </c>
      <c r="T20" s="46" t="n">
        <f aca="false">_Engine_R50!E49</f>
        <v>1.07333333333333</v>
      </c>
      <c r="U20" s="46" t="n">
        <f aca="false">_Engine_R50!E50</f>
        <v>0.847777777777778</v>
      </c>
      <c r="V20" s="46" t="n">
        <f aca="false">_Engine_R50!E51</f>
        <v>0.622222222222222</v>
      </c>
      <c r="W20" s="46" t="n">
        <f aca="false">_Engine_R50!E52</f>
        <v>0.57037037037037</v>
      </c>
      <c r="X20" s="46" t="n">
        <f aca="false">_Engine_R50!E53</f>
        <v>0.518518518518519</v>
      </c>
      <c r="Y20" s="46" t="n">
        <f aca="false">_Engine_R50!E54</f>
        <v>0.466666666666667</v>
      </c>
      <c r="Z20" s="170" t="n">
        <f aca="false">_Engine_R50!E55</f>
        <v>0.414814814814815</v>
      </c>
      <c r="AA20" s="170" t="n">
        <f aca="false">_Engine_R50!E56</f>
        <v>0.362962962962963</v>
      </c>
      <c r="AB20" s="170" t="n">
        <f aca="false">_Engine_R50!E57</f>
        <v>0.311111111111111</v>
      </c>
      <c r="AC20" s="170" t="n">
        <f aca="false">_Engine_R50!E58</f>
        <v>0.272222222222222</v>
      </c>
      <c r="AD20" s="170" t="n">
        <f aca="false">_Engine_R50!E59</f>
        <v>0.233333333333333</v>
      </c>
      <c r="AE20" s="170" t="n">
        <f aca="false">_Engine_R50!E60</f>
        <v>0.194444444444444</v>
      </c>
      <c r="AF20" s="170" t="n">
        <f aca="false">_Engine_R50!E61</f>
        <v>0.155555555555556</v>
      </c>
      <c r="AG20" s="170" t="n">
        <f aca="false">_Engine_R50!E62</f>
        <v>1.2962962962963</v>
      </c>
      <c r="AH20" s="170" t="n">
        <f aca="false">_Engine_R50!E63</f>
        <v>1.0837037037037</v>
      </c>
      <c r="AI20" s="170" t="n">
        <f aca="false">_Engine_R50!E64</f>
        <v>0.871111111111111</v>
      </c>
      <c r="AJ20" s="170" t="n">
        <f aca="false">_Engine_R50!E65</f>
        <v>0.658518518518518</v>
      </c>
      <c r="AK20" s="170" t="n">
        <f aca="false">_Engine_R50!E66</f>
        <v>0.458888888888889</v>
      </c>
      <c r="AL20" s="46" t="n">
        <f aca="false">_Engine_R50!E67</f>
        <v>0.259259259259259</v>
      </c>
      <c r="AM20" s="46" t="n">
        <f aca="false">_Engine_R50!E68</f>
        <v>0.233333333333333</v>
      </c>
      <c r="AN20" s="46" t="n">
        <f aca="false">_Engine_R50!E69</f>
        <v>0.207407407407407</v>
      </c>
      <c r="AO20" s="46" t="n">
        <f aca="false">_Engine_R50!E70</f>
        <v>0.194444444444444</v>
      </c>
      <c r="AP20" s="46" t="n">
        <f aca="false">_Engine_R50!E71</f>
        <v>0.181481481481482</v>
      </c>
      <c r="AQ20" s="46" t="n">
        <f aca="false">_Engine_R50!E72</f>
        <v>0.168518518518519</v>
      </c>
      <c r="AR20" s="46" t="n">
        <f aca="false">_Engine_R50!E73</f>
        <v>0.155555555555556</v>
      </c>
      <c r="AS20" s="46" t="n">
        <f aca="false">_Engine_R50!E74</f>
        <v>0.142592592592593</v>
      </c>
      <c r="AT20" s="46" t="n">
        <f aca="false">_Engine_R50!E75</f>
        <v>0.12962962962963</v>
      </c>
      <c r="AU20" s="46" t="n">
        <f aca="false">_Engine_R50!E76</f>
        <v>0.116666666666667</v>
      </c>
      <c r="AV20" s="46" t="n">
        <f aca="false">_Engine_R50!E77</f>
        <v>0.103703703703704</v>
      </c>
      <c r="AW20" s="46" t="n">
        <f aca="false">_Engine_R50!E78</f>
        <v>0.0907407407407408</v>
      </c>
      <c r="AX20" s="170" t="n">
        <f aca="false">_Engine_R50!E79</f>
        <v>0.0777777777777778</v>
      </c>
      <c r="AY20" s="170" t="n">
        <f aca="false">_Engine_R50!E80</f>
        <v>0.0648148148148148</v>
      </c>
      <c r="AZ20" s="170" t="n">
        <f aca="false">_Engine_R50!E81</f>
        <v>0.0518518518518519</v>
      </c>
      <c r="BA20" s="170" t="n">
        <f aca="false">_Engine_R50!E82</f>
        <v>0.0388888888888889</v>
      </c>
      <c r="BB20" s="170" t="n">
        <f aca="false">_Engine_R50!E83</f>
        <v>0.0259259259259259</v>
      </c>
      <c r="BC20" s="170" t="n">
        <f aca="false">_Engine_R50!E84</f>
        <v>0.012962962962963</v>
      </c>
      <c r="BD20" s="170" t="n">
        <f aca="false">_Engine_R50!E85</f>
        <v>0</v>
      </c>
      <c r="BE20" s="170" t="n">
        <f aca="false">_Engine_R50!E86</f>
        <v>0</v>
      </c>
      <c r="BF20" s="170" t="n">
        <f aca="false">_Engine_R50!E87</f>
        <v>0</v>
      </c>
      <c r="BG20" s="170" t="n">
        <f aca="false">_Engine_R50!E88</f>
        <v>0</v>
      </c>
      <c r="BH20" s="170" t="n">
        <f aca="false">_Engine_R50!E89</f>
        <v>0</v>
      </c>
      <c r="BI20" s="170" t="n">
        <f aca="false">_Engine_R50!E90</f>
        <v>0</v>
      </c>
      <c r="BJ20" s="46" t="n">
        <f aca="false">_Engine_R50!E91</f>
        <v>0</v>
      </c>
      <c r="BK20" s="46" t="n">
        <f aca="false">_Engine_R50!E92</f>
        <v>0</v>
      </c>
      <c r="BL20" s="46" t="n">
        <f aca="false">_Engine_R50!E93</f>
        <v>0</v>
      </c>
      <c r="BM20" s="46" t="n">
        <f aca="false">_Engine_R50!E94</f>
        <v>0</v>
      </c>
      <c r="BN20" s="46" t="n">
        <f aca="false">_Engine_R50!E95</f>
        <v>0</v>
      </c>
      <c r="BO20" s="46" t="n">
        <f aca="false">_Engine_R50!E96</f>
        <v>0</v>
      </c>
      <c r="BP20" s="46" t="n">
        <f aca="false">_Engine_R50!E97</f>
        <v>0</v>
      </c>
      <c r="BQ20" s="46" t="n">
        <f aca="false">_Engine_R50!E98</f>
        <v>0</v>
      </c>
      <c r="BR20" s="46" t="n">
        <f aca="false">_Engine_R50!E99</f>
        <v>0</v>
      </c>
      <c r="BS20" s="46" t="n">
        <f aca="false">_Engine_R50!E100</f>
        <v>0</v>
      </c>
      <c r="BT20" s="46" t="n">
        <f aca="false">_Engine_R50!E101</f>
        <v>0</v>
      </c>
      <c r="BU20" s="46" t="n">
        <f aca="false">_Engine_R50!E102</f>
        <v>0</v>
      </c>
      <c r="BV20" s="170" t="n">
        <f aca="false">_Engine_R50!E103</f>
        <v>0</v>
      </c>
      <c r="BW20" s="170" t="n">
        <f aca="false">_Engine_R50!E104</f>
        <v>0</v>
      </c>
      <c r="BX20" s="170" t="n">
        <f aca="false">_Engine_R50!E105</f>
        <v>0</v>
      </c>
      <c r="BY20" s="170" t="n">
        <f aca="false">_Engine_R50!E106</f>
        <v>0</v>
      </c>
      <c r="BZ20" s="170" t="n">
        <f aca="false">_Engine_R50!E107</f>
        <v>0</v>
      </c>
      <c r="CA20" s="170" t="n">
        <f aca="false">_Engine_R50!E108</f>
        <v>0</v>
      </c>
      <c r="CB20" s="170" t="n">
        <f aca="false">_Engine_R50!E109</f>
        <v>0</v>
      </c>
      <c r="CC20" s="170" t="n">
        <f aca="false">_Engine_R50!E110</f>
        <v>0</v>
      </c>
      <c r="CD20" s="170" t="n">
        <f aca="false">_Engine_R50!E111</f>
        <v>0</v>
      </c>
      <c r="CE20" s="170" t="n">
        <f aca="false">_Engine_R50!E112</f>
        <v>0</v>
      </c>
      <c r="CF20" s="170" t="n">
        <f aca="false">_Engine_R50!E113</f>
        <v>0</v>
      </c>
      <c r="CG20" s="170" t="n">
        <f aca="false">_Engine_R50!E114</f>
        <v>0</v>
      </c>
      <c r="CH20" s="46" t="n">
        <f aca="false">_Engine_R50!E115</f>
        <v>0</v>
      </c>
      <c r="CI20" s="46" t="n">
        <f aca="false">_Engine_R50!E116</f>
        <v>0</v>
      </c>
      <c r="CJ20" s="46" t="n">
        <f aca="false">_Engine_R50!E117</f>
        <v>0</v>
      </c>
      <c r="CK20" s="46" t="n">
        <f aca="false">_Engine_R50!E118</f>
        <v>0</v>
      </c>
      <c r="CL20" s="46" t="n">
        <f aca="false">_Engine_R50!E119</f>
        <v>0</v>
      </c>
      <c r="CM20" s="46" t="n">
        <f aca="false">_Engine_R50!E120</f>
        <v>0</v>
      </c>
      <c r="CN20" s="46" t="n">
        <f aca="false">_Engine_R50!E121</f>
        <v>0</v>
      </c>
      <c r="CO20" s="46" t="n">
        <f aca="false">_Engine_R50!E122</f>
        <v>0</v>
      </c>
      <c r="CP20" s="46" t="n">
        <f aca="false">_Engine_R50!E123</f>
        <v>0</v>
      </c>
      <c r="CQ20" s="46" t="n">
        <f aca="false">_Engine_R50!E124</f>
        <v>0</v>
      </c>
      <c r="CR20" s="46" t="n">
        <f aca="false">_Engine_R50!E125</f>
        <v>0</v>
      </c>
      <c r="CS20" s="46" t="n">
        <f aca="false">_Engine_R50!E126</f>
        <v>0</v>
      </c>
      <c r="CT20" s="170" t="n">
        <f aca="false">_Engine_R50!E127</f>
        <v>0</v>
      </c>
      <c r="CU20" s="170" t="n">
        <f aca="false">_Engine_R50!E128</f>
        <v>0</v>
      </c>
      <c r="CV20" s="170" t="n">
        <f aca="false">_Engine_R50!E129</f>
        <v>0</v>
      </c>
      <c r="CW20" s="170" t="n">
        <f aca="false">_Engine_R50!E130</f>
        <v>0</v>
      </c>
      <c r="CX20" s="170" t="n">
        <f aca="false">_Engine_R50!E131</f>
        <v>0</v>
      </c>
      <c r="CY20" s="170" t="n">
        <f aca="false">_Engine_R50!E132</f>
        <v>0</v>
      </c>
      <c r="CZ20" s="170" t="n">
        <f aca="false">_Engine_R50!E133</f>
        <v>0</v>
      </c>
      <c r="DA20" s="170" t="n">
        <f aca="false">_Engine_R50!E134</f>
        <v>0</v>
      </c>
      <c r="DB20" s="170" t="n">
        <f aca="false">_Engine_R50!E135</f>
        <v>0</v>
      </c>
      <c r="DC20" s="170" t="n">
        <f aca="false">_Engine_R50!E136</f>
        <v>0</v>
      </c>
      <c r="DD20" s="170" t="n">
        <f aca="false">_Engine_R50!E137</f>
        <v>0</v>
      </c>
      <c r="DE20" s="170" t="n">
        <f aca="false">_Engine_R50!E138</f>
        <v>0</v>
      </c>
      <c r="DF20" s="46" t="n">
        <f aca="false">_Engine_R50!E139</f>
        <v>0</v>
      </c>
      <c r="DG20" s="46" t="n">
        <f aca="false">_Engine_R50!E140</f>
        <v>0</v>
      </c>
      <c r="DH20" s="46" t="n">
        <f aca="false">_Engine_R50!E141</f>
        <v>0</v>
      </c>
      <c r="DI20" s="46" t="n">
        <f aca="false">_Engine_R50!E142</f>
        <v>0</v>
      </c>
      <c r="DJ20" s="46" t="n">
        <f aca="false">_Engine_R50!E143</f>
        <v>0</v>
      </c>
      <c r="DK20" s="46" t="n">
        <f aca="false">_Engine_R50!E144</f>
        <v>0</v>
      </c>
      <c r="DL20" s="46" t="n">
        <f aca="false">_Engine_R50!E145</f>
        <v>0</v>
      </c>
      <c r="DM20" s="46" t="n">
        <f aca="false">_Engine_R50!E146</f>
        <v>0</v>
      </c>
      <c r="DN20" s="46" t="n">
        <f aca="false">_Engine_R50!E147</f>
        <v>0</v>
      </c>
      <c r="DO20" s="46" t="n">
        <f aca="false">_Engine_R50!E148</f>
        <v>0</v>
      </c>
      <c r="DP20" s="46" t="n">
        <f aca="false">_Engine_R50!E149</f>
        <v>0</v>
      </c>
      <c r="DQ20" s="46" t="n">
        <f aca="false">_Engine_R50!E150</f>
        <v>0</v>
      </c>
      <c r="DR20" s="170" t="n">
        <f aca="false">_Engine_R50!E151</f>
        <v>0</v>
      </c>
      <c r="DS20" s="170" t="n">
        <f aca="false">_Engine_R50!E152</f>
        <v>0</v>
      </c>
      <c r="DT20" s="170" t="n">
        <f aca="false">_Engine_R50!E153</f>
        <v>0</v>
      </c>
      <c r="DU20" s="170" t="n">
        <f aca="false">_Engine_R50!E154</f>
        <v>0</v>
      </c>
      <c r="DV20" s="170" t="n">
        <f aca="false">_Engine_R50!E155</f>
        <v>0</v>
      </c>
      <c r="DW20" s="170" t="n">
        <f aca="false">_Engine_R50!E156</f>
        <v>0</v>
      </c>
      <c r="DX20" s="170" t="n">
        <f aca="false">_Engine_R50!E157</f>
        <v>0</v>
      </c>
      <c r="DY20" s="170" t="n">
        <f aca="false">_Engine_R50!E158</f>
        <v>0</v>
      </c>
      <c r="DZ20" s="170" t="n">
        <f aca="false">_Engine_R50!E159</f>
        <v>0</v>
      </c>
      <c r="EA20" s="170" t="n">
        <f aca="false">_Engine_R50!E160</f>
        <v>0</v>
      </c>
      <c r="EB20" s="170" t="n">
        <f aca="false">_Engine_R50!E161</f>
        <v>0</v>
      </c>
      <c r="EC20" s="170" t="n">
        <f aca="false">_Engine_R50!E162</f>
        <v>0</v>
      </c>
      <c r="ED20" s="46" t="n">
        <f aca="false">_Engine_R50!E163</f>
        <v>0</v>
      </c>
      <c r="EE20" s="46" t="n">
        <f aca="false">_Engine_R50!E164</f>
        <v>0</v>
      </c>
      <c r="EF20" s="46" t="n">
        <f aca="false">_Engine_R50!E165</f>
        <v>0</v>
      </c>
      <c r="EG20" s="46" t="n">
        <f aca="false">_Engine_R50!E166</f>
        <v>0</v>
      </c>
      <c r="EH20" s="46" t="n">
        <f aca="false">_Engine_R50!E167</f>
        <v>0</v>
      </c>
      <c r="EI20" s="46" t="n">
        <f aca="false">_Engine_R50!E168</f>
        <v>0</v>
      </c>
      <c r="EJ20" s="46" t="n">
        <f aca="false">_Engine_R50!E169</f>
        <v>0</v>
      </c>
      <c r="EK20" s="46" t="n">
        <f aca="false">_Engine_R50!E170</f>
        <v>0</v>
      </c>
      <c r="EL20" s="46" t="n">
        <f aca="false">_Engine_R50!E171</f>
        <v>0</v>
      </c>
      <c r="EM20" s="46" t="n">
        <f aca="false">_Engine_R50!E172</f>
        <v>0</v>
      </c>
      <c r="EN20" s="46" t="n">
        <f aca="false">_Engine_R50!E173</f>
        <v>0</v>
      </c>
      <c r="EO20" s="46" t="n">
        <f aca="false">_Engine_R50!E174</f>
        <v>0</v>
      </c>
      <c r="EP20" s="170" t="n">
        <f aca="false">_Engine_R50!E175</f>
        <v>0</v>
      </c>
      <c r="EQ20" s="170" t="n">
        <f aca="false">_Engine_R50!E176</f>
        <v>0</v>
      </c>
      <c r="ER20" s="170" t="n">
        <f aca="false">_Engine_R50!E177</f>
        <v>0</v>
      </c>
      <c r="ES20" s="170" t="n">
        <f aca="false">_Engine_R50!E178</f>
        <v>0</v>
      </c>
      <c r="ET20" s="170" t="n">
        <f aca="false">_Engine_R50!E179</f>
        <v>0</v>
      </c>
      <c r="EU20" s="170" t="n">
        <f aca="false">_Engine_R50!E180</f>
        <v>0</v>
      </c>
      <c r="EV20" s="170" t="n">
        <f aca="false">_Engine_R50!E181</f>
        <v>0</v>
      </c>
      <c r="EW20" s="170" t="n">
        <f aca="false">_Engine_R50!E182</f>
        <v>0</v>
      </c>
      <c r="EX20" s="170" t="n">
        <f aca="false">_Engine_R50!E183</f>
        <v>0</v>
      </c>
      <c r="EY20" s="170" t="n">
        <f aca="false">_Engine_R50!E184</f>
        <v>0</v>
      </c>
      <c r="EZ20" s="170" t="n">
        <f aca="false">_Engine_R50!E185</f>
        <v>0</v>
      </c>
      <c r="FA20" s="170" t="n">
        <f aca="false">_Engine_R50!E186</f>
        <v>0</v>
      </c>
      <c r="FB20" s="46" t="n">
        <f aca="false">_Engine_R50!E187</f>
        <v>0</v>
      </c>
      <c r="FC20" s="46" t="n">
        <f aca="false">_Engine_R50!E188</f>
        <v>0</v>
      </c>
      <c r="FD20" s="46" t="n">
        <f aca="false">_Engine_R50!E189</f>
        <v>0</v>
      </c>
      <c r="FE20" s="46" t="n">
        <f aca="false">_Engine_R50!E190</f>
        <v>0</v>
      </c>
      <c r="FF20" s="46" t="n">
        <f aca="false">_Engine_R50!E191</f>
        <v>0</v>
      </c>
      <c r="FG20" s="46" t="n">
        <f aca="false">_Engine_R50!E192</f>
        <v>0</v>
      </c>
      <c r="FH20" s="46" t="n">
        <f aca="false">_Engine_R50!E193</f>
        <v>0</v>
      </c>
      <c r="FI20" s="46" t="n">
        <f aca="false">_Engine_R50!E194</f>
        <v>0</v>
      </c>
      <c r="FJ20" s="46" t="n">
        <f aca="false">_Engine_R50!E195</f>
        <v>0</v>
      </c>
      <c r="FK20" s="46" t="n">
        <f aca="false">_Engine_R50!E196</f>
        <v>0</v>
      </c>
      <c r="FL20" s="46" t="n">
        <f aca="false">_Engine_R50!E197</f>
        <v>0</v>
      </c>
      <c r="FM20" s="46" t="n">
        <f aca="false">_Engine_R50!E198</f>
        <v>0</v>
      </c>
      <c r="FN20" s="170" t="n">
        <f aca="false">_Engine_R50!E199</f>
        <v>0</v>
      </c>
      <c r="FO20" s="170" t="n">
        <f aca="false">_Engine_R50!E200</f>
        <v>0</v>
      </c>
      <c r="FP20" s="170" t="n">
        <f aca="false">_Engine_R50!E201</f>
        <v>0</v>
      </c>
      <c r="FQ20" s="170" t="n">
        <f aca="false">_Engine_R50!E202</f>
        <v>0</v>
      </c>
      <c r="FR20" s="170" t="n">
        <f aca="false">_Engine_R50!E203</f>
        <v>0</v>
      </c>
      <c r="FS20" s="170" t="n">
        <f aca="false">_Engine_R50!E204</f>
        <v>0</v>
      </c>
      <c r="FT20" s="170" t="n">
        <f aca="false">_Engine_R50!E205</f>
        <v>0</v>
      </c>
      <c r="FU20" s="170" t="n">
        <f aca="false">_Engine_R50!E206</f>
        <v>0</v>
      </c>
      <c r="FV20" s="170" t="n">
        <f aca="false">_Engine_R50!E207</f>
        <v>0</v>
      </c>
      <c r="FW20" s="170" t="n">
        <f aca="false">_Engine_R50!E208</f>
        <v>0</v>
      </c>
      <c r="FX20" s="170" t="n">
        <f aca="false">_Engine_R50!E209</f>
        <v>0</v>
      </c>
      <c r="FY20" s="170" t="n">
        <f aca="false">_Engine_R50!E210</f>
        <v>0</v>
      </c>
      <c r="FZ20" s="1"/>
    </row>
    <row r="21" customFormat="false" ht="15" hidden="false" customHeight="true" outlineLevel="0" collapsed="false">
      <c r="A21" s="17" t="s">
        <v>239</v>
      </c>
      <c r="B21" s="170" t="n">
        <f aca="false">_Engine_R50!U31</f>
        <v>0</v>
      </c>
      <c r="C21" s="170" t="n">
        <f aca="false">_Engine_R50!U32</f>
        <v>0</v>
      </c>
      <c r="D21" s="170" t="n">
        <f aca="false">_Engine_R50!U33</f>
        <v>0</v>
      </c>
      <c r="E21" s="170" t="n">
        <f aca="false">_Engine_R50!U34</f>
        <v>0</v>
      </c>
      <c r="F21" s="170" t="n">
        <f aca="false">_Engine_R50!U35</f>
        <v>0</v>
      </c>
      <c r="G21" s="170" t="n">
        <f aca="false">_Engine_R50!U36</f>
        <v>0</v>
      </c>
      <c r="H21" s="170" t="n">
        <f aca="false">_Engine_R50!U37</f>
        <v>0</v>
      </c>
      <c r="I21" s="170" t="n">
        <f aca="false">_Engine_R50!U38</f>
        <v>0</v>
      </c>
      <c r="J21" s="170" t="n">
        <f aca="false">_Engine_R50!U39</f>
        <v>0</v>
      </c>
      <c r="K21" s="170" t="n">
        <f aca="false">_Engine_R50!U40</f>
        <v>0</v>
      </c>
      <c r="L21" s="170" t="n">
        <f aca="false">_Engine_R50!U41</f>
        <v>0</v>
      </c>
      <c r="M21" s="170" t="n">
        <f aca="false">_Engine_R50!U42</f>
        <v>0</v>
      </c>
      <c r="N21" s="46" t="n">
        <f aca="false">_Engine_R50!U43</f>
        <v>0</v>
      </c>
      <c r="O21" s="46" t="n">
        <f aca="false">_Engine_R50!U44</f>
        <v>0</v>
      </c>
      <c r="P21" s="46" t="n">
        <f aca="false">_Engine_R50!U45</f>
        <v>0</v>
      </c>
      <c r="Q21" s="46" t="n">
        <f aca="false">_Engine_R50!U46</f>
        <v>0</v>
      </c>
      <c r="R21" s="46" t="n">
        <f aca="false">_Engine_R50!U47</f>
        <v>0</v>
      </c>
      <c r="S21" s="46" t="n">
        <f aca="false">_Engine_R50!U48</f>
        <v>0</v>
      </c>
      <c r="T21" s="46" t="n">
        <f aca="false">_Engine_R50!U49</f>
        <v>0</v>
      </c>
      <c r="U21" s="46" t="n">
        <f aca="false">_Engine_R50!U50</f>
        <v>0</v>
      </c>
      <c r="V21" s="46" t="n">
        <f aca="false">_Engine_R50!U51</f>
        <v>0</v>
      </c>
      <c r="W21" s="46" t="n">
        <f aca="false">_Engine_R50!U52</f>
        <v>0</v>
      </c>
      <c r="X21" s="46" t="n">
        <f aca="false">_Engine_R50!U53</f>
        <v>0</v>
      </c>
      <c r="Y21" s="46" t="n">
        <f aca="false">_Engine_R50!U54</f>
        <v>0</v>
      </c>
      <c r="Z21" s="170" t="n">
        <f aca="false">_Engine_R50!U55</f>
        <v>0</v>
      </c>
      <c r="AA21" s="170" t="n">
        <f aca="false">_Engine_R50!U56</f>
        <v>0</v>
      </c>
      <c r="AB21" s="170" t="n">
        <f aca="false">_Engine_R50!U57</f>
        <v>0</v>
      </c>
      <c r="AC21" s="170" t="n">
        <f aca="false">_Engine_R50!U58</f>
        <v>0</v>
      </c>
      <c r="AD21" s="170" t="n">
        <f aca="false">_Engine_R50!U59</f>
        <v>0</v>
      </c>
      <c r="AE21" s="170" t="n">
        <f aca="false">_Engine_R50!U60</f>
        <v>0</v>
      </c>
      <c r="AF21" s="170" t="n">
        <f aca="false">_Engine_R50!U61</f>
        <v>0</v>
      </c>
      <c r="AG21" s="170" t="n">
        <f aca="false">_Engine_R50!U62</f>
        <v>0</v>
      </c>
      <c r="AH21" s="170" t="n">
        <f aca="false">_Engine_R50!U63</f>
        <v>0</v>
      </c>
      <c r="AI21" s="170" t="n">
        <f aca="false">_Engine_R50!U64</f>
        <v>0</v>
      </c>
      <c r="AJ21" s="170" t="n">
        <f aca="false">_Engine_R50!U65</f>
        <v>0</v>
      </c>
      <c r="AK21" s="170" t="n">
        <f aca="false">_Engine_R50!U66</f>
        <v>0</v>
      </c>
      <c r="AL21" s="46" t="n">
        <f aca="false">_Engine_R50!U67</f>
        <v>0</v>
      </c>
      <c r="AM21" s="46" t="n">
        <f aca="false">_Engine_R50!U68</f>
        <v>0</v>
      </c>
      <c r="AN21" s="46" t="n">
        <f aca="false">_Engine_R50!U69</f>
        <v>0</v>
      </c>
      <c r="AO21" s="46" t="n">
        <f aca="false">_Engine_R50!U70</f>
        <v>0</v>
      </c>
      <c r="AP21" s="46" t="n">
        <f aca="false">_Engine_R50!U71</f>
        <v>0</v>
      </c>
      <c r="AQ21" s="46" t="n">
        <f aca="false">_Engine_R50!U72</f>
        <v>0</v>
      </c>
      <c r="AR21" s="46" t="n">
        <f aca="false">_Engine_R50!U73</f>
        <v>0</v>
      </c>
      <c r="AS21" s="46" t="n">
        <f aca="false">_Engine_R50!U74</f>
        <v>0</v>
      </c>
      <c r="AT21" s="46" t="n">
        <f aca="false">_Engine_R50!U75</f>
        <v>0</v>
      </c>
      <c r="AU21" s="46" t="n">
        <f aca="false">_Engine_R50!U76</f>
        <v>0</v>
      </c>
      <c r="AV21" s="46" t="n">
        <f aca="false">_Engine_R50!U77</f>
        <v>0</v>
      </c>
      <c r="AW21" s="46" t="n">
        <f aca="false">_Engine_R50!U78</f>
        <v>0</v>
      </c>
      <c r="AX21" s="170" t="n">
        <f aca="false">_Engine_R50!U79</f>
        <v>0</v>
      </c>
      <c r="AY21" s="170" t="n">
        <f aca="false">_Engine_R50!U80</f>
        <v>0</v>
      </c>
      <c r="AZ21" s="170" t="n">
        <f aca="false">_Engine_R50!U81</f>
        <v>0</v>
      </c>
      <c r="BA21" s="170" t="n">
        <f aca="false">_Engine_R50!U82</f>
        <v>0</v>
      </c>
      <c r="BB21" s="170" t="n">
        <f aca="false">_Engine_R50!U83</f>
        <v>0</v>
      </c>
      <c r="BC21" s="170" t="n">
        <f aca="false">_Engine_R50!U84</f>
        <v>0</v>
      </c>
      <c r="BD21" s="170" t="n">
        <f aca="false">_Engine_R50!U85</f>
        <v>0</v>
      </c>
      <c r="BE21" s="170" t="n">
        <f aca="false">_Engine_R50!U86</f>
        <v>0</v>
      </c>
      <c r="BF21" s="170" t="n">
        <f aca="false">_Engine_R50!U87</f>
        <v>0</v>
      </c>
      <c r="BG21" s="170" t="n">
        <f aca="false">_Engine_R50!U88</f>
        <v>0</v>
      </c>
      <c r="BH21" s="170" t="n">
        <f aca="false">_Engine_R50!U89</f>
        <v>0</v>
      </c>
      <c r="BI21" s="170" t="n">
        <f aca="false">_Engine_R50!U90</f>
        <v>0</v>
      </c>
      <c r="BJ21" s="46" t="n">
        <f aca="false">_Engine_R50!U91</f>
        <v>0</v>
      </c>
      <c r="BK21" s="46" t="n">
        <f aca="false">_Engine_R50!U92</f>
        <v>0</v>
      </c>
      <c r="BL21" s="46" t="n">
        <f aca="false">_Engine_R50!U93</f>
        <v>0</v>
      </c>
      <c r="BM21" s="46" t="n">
        <f aca="false">_Engine_R50!U94</f>
        <v>0</v>
      </c>
      <c r="BN21" s="46" t="n">
        <f aca="false">_Engine_R50!U95</f>
        <v>0</v>
      </c>
      <c r="BO21" s="46" t="n">
        <f aca="false">_Engine_R50!U96</f>
        <v>0</v>
      </c>
      <c r="BP21" s="46" t="n">
        <f aca="false">_Engine_R50!U97</f>
        <v>0</v>
      </c>
      <c r="BQ21" s="46" t="n">
        <f aca="false">_Engine_R50!U98</f>
        <v>0</v>
      </c>
      <c r="BR21" s="46" t="n">
        <f aca="false">_Engine_R50!U99</f>
        <v>0</v>
      </c>
      <c r="BS21" s="46" t="n">
        <f aca="false">_Engine_R50!U100</f>
        <v>0</v>
      </c>
      <c r="BT21" s="46" t="n">
        <f aca="false">_Engine_R50!U101</f>
        <v>0</v>
      </c>
      <c r="BU21" s="46" t="n">
        <f aca="false">_Engine_R50!U102</f>
        <v>0</v>
      </c>
      <c r="BV21" s="170" t="n">
        <f aca="false">_Engine_R50!U103</f>
        <v>0</v>
      </c>
      <c r="BW21" s="170" t="n">
        <f aca="false">_Engine_R50!U104</f>
        <v>0</v>
      </c>
      <c r="BX21" s="170" t="n">
        <f aca="false">_Engine_R50!U105</f>
        <v>0</v>
      </c>
      <c r="BY21" s="170" t="n">
        <f aca="false">_Engine_R50!U106</f>
        <v>0</v>
      </c>
      <c r="BZ21" s="170" t="n">
        <f aca="false">_Engine_R50!U107</f>
        <v>0</v>
      </c>
      <c r="CA21" s="170" t="n">
        <f aca="false">_Engine_R50!U108</f>
        <v>0</v>
      </c>
      <c r="CB21" s="170" t="n">
        <f aca="false">_Engine_R50!U109</f>
        <v>0</v>
      </c>
      <c r="CC21" s="170" t="n">
        <f aca="false">_Engine_R50!U110</f>
        <v>0</v>
      </c>
      <c r="CD21" s="170" t="n">
        <f aca="false">_Engine_R50!U111</f>
        <v>0</v>
      </c>
      <c r="CE21" s="170" t="n">
        <f aca="false">_Engine_R50!U112</f>
        <v>0</v>
      </c>
      <c r="CF21" s="170" t="n">
        <f aca="false">_Engine_R50!U113</f>
        <v>0</v>
      </c>
      <c r="CG21" s="170" t="n">
        <f aca="false">_Engine_R50!U114</f>
        <v>0</v>
      </c>
      <c r="CH21" s="46" t="n">
        <f aca="false">_Engine_R50!U115</f>
        <v>0</v>
      </c>
      <c r="CI21" s="46" t="n">
        <f aca="false">_Engine_R50!U116</f>
        <v>0</v>
      </c>
      <c r="CJ21" s="46" t="n">
        <f aca="false">_Engine_R50!U117</f>
        <v>0</v>
      </c>
      <c r="CK21" s="46" t="n">
        <f aca="false">_Engine_R50!U118</f>
        <v>0</v>
      </c>
      <c r="CL21" s="46" t="n">
        <f aca="false">_Engine_R50!U119</f>
        <v>0</v>
      </c>
      <c r="CM21" s="46" t="n">
        <f aca="false">_Engine_R50!U120</f>
        <v>0</v>
      </c>
      <c r="CN21" s="46" t="n">
        <f aca="false">_Engine_R50!U121</f>
        <v>0</v>
      </c>
      <c r="CO21" s="46" t="n">
        <f aca="false">_Engine_R50!U122</f>
        <v>0</v>
      </c>
      <c r="CP21" s="46" t="n">
        <f aca="false">_Engine_R50!U123</f>
        <v>0</v>
      </c>
      <c r="CQ21" s="46" t="n">
        <f aca="false">_Engine_R50!U124</f>
        <v>0</v>
      </c>
      <c r="CR21" s="46" t="n">
        <f aca="false">_Engine_R50!U125</f>
        <v>0</v>
      </c>
      <c r="CS21" s="46" t="n">
        <f aca="false">_Engine_R50!U126</f>
        <v>0</v>
      </c>
      <c r="CT21" s="170" t="n">
        <f aca="false">_Engine_R50!U127</f>
        <v>0</v>
      </c>
      <c r="CU21" s="170" t="n">
        <f aca="false">_Engine_R50!U128</f>
        <v>0</v>
      </c>
      <c r="CV21" s="170" t="n">
        <f aca="false">_Engine_R50!U129</f>
        <v>0</v>
      </c>
      <c r="CW21" s="170" t="n">
        <f aca="false">_Engine_R50!U130</f>
        <v>0</v>
      </c>
      <c r="CX21" s="170" t="n">
        <f aca="false">_Engine_R50!U131</f>
        <v>0</v>
      </c>
      <c r="CY21" s="170" t="n">
        <f aca="false">_Engine_R50!U132</f>
        <v>0</v>
      </c>
      <c r="CZ21" s="170" t="n">
        <f aca="false">_Engine_R50!U133</f>
        <v>0</v>
      </c>
      <c r="DA21" s="170" t="n">
        <f aca="false">_Engine_R50!U134</f>
        <v>0</v>
      </c>
      <c r="DB21" s="170" t="n">
        <f aca="false">_Engine_R50!U135</f>
        <v>0</v>
      </c>
      <c r="DC21" s="170" t="n">
        <f aca="false">_Engine_R50!U136</f>
        <v>0</v>
      </c>
      <c r="DD21" s="170" t="n">
        <f aca="false">_Engine_R50!U137</f>
        <v>0</v>
      </c>
      <c r="DE21" s="170" t="n">
        <f aca="false">_Engine_R50!U138</f>
        <v>0</v>
      </c>
      <c r="DF21" s="46" t="n">
        <f aca="false">_Engine_R50!U139</f>
        <v>0</v>
      </c>
      <c r="DG21" s="46" t="n">
        <f aca="false">_Engine_R50!U140</f>
        <v>0</v>
      </c>
      <c r="DH21" s="46" t="n">
        <f aca="false">_Engine_R50!U141</f>
        <v>0</v>
      </c>
      <c r="DI21" s="46" t="n">
        <f aca="false">_Engine_R50!U142</f>
        <v>0</v>
      </c>
      <c r="DJ21" s="46" t="n">
        <f aca="false">_Engine_R50!U143</f>
        <v>0</v>
      </c>
      <c r="DK21" s="46" t="n">
        <f aca="false">_Engine_R50!U144</f>
        <v>0</v>
      </c>
      <c r="DL21" s="46" t="n">
        <f aca="false">_Engine_R50!U145</f>
        <v>0</v>
      </c>
      <c r="DM21" s="46" t="n">
        <f aca="false">_Engine_R50!U146</f>
        <v>0</v>
      </c>
      <c r="DN21" s="46" t="n">
        <f aca="false">_Engine_R50!U147</f>
        <v>0</v>
      </c>
      <c r="DO21" s="46" t="n">
        <f aca="false">_Engine_R50!U148</f>
        <v>0</v>
      </c>
      <c r="DP21" s="46" t="n">
        <f aca="false">_Engine_R50!U149</f>
        <v>0</v>
      </c>
      <c r="DQ21" s="46" t="n">
        <f aca="false">_Engine_R50!U150</f>
        <v>0</v>
      </c>
      <c r="DR21" s="170" t="n">
        <f aca="false">_Engine_R50!U151</f>
        <v>0</v>
      </c>
      <c r="DS21" s="170" t="n">
        <f aca="false">_Engine_R50!U152</f>
        <v>0</v>
      </c>
      <c r="DT21" s="170" t="n">
        <f aca="false">_Engine_R50!U153</f>
        <v>0</v>
      </c>
      <c r="DU21" s="170" t="n">
        <f aca="false">_Engine_R50!U154</f>
        <v>0</v>
      </c>
      <c r="DV21" s="170" t="n">
        <f aca="false">_Engine_R50!U155</f>
        <v>0</v>
      </c>
      <c r="DW21" s="170" t="n">
        <f aca="false">_Engine_R50!U156</f>
        <v>0</v>
      </c>
      <c r="DX21" s="170" t="n">
        <f aca="false">_Engine_R50!U157</f>
        <v>0</v>
      </c>
      <c r="DY21" s="170" t="n">
        <f aca="false">_Engine_R50!U158</f>
        <v>0</v>
      </c>
      <c r="DZ21" s="170" t="n">
        <f aca="false">_Engine_R50!U159</f>
        <v>0</v>
      </c>
      <c r="EA21" s="170" t="n">
        <f aca="false">_Engine_R50!U160</f>
        <v>0</v>
      </c>
      <c r="EB21" s="170" t="n">
        <f aca="false">_Engine_R50!U161</f>
        <v>0</v>
      </c>
      <c r="EC21" s="170" t="n">
        <f aca="false">_Engine_R50!U162</f>
        <v>0</v>
      </c>
      <c r="ED21" s="46" t="n">
        <f aca="false">_Engine_R50!U163</f>
        <v>0</v>
      </c>
      <c r="EE21" s="46" t="n">
        <f aca="false">_Engine_R50!U164</f>
        <v>0</v>
      </c>
      <c r="EF21" s="46" t="n">
        <f aca="false">_Engine_R50!U165</f>
        <v>0</v>
      </c>
      <c r="EG21" s="46" t="n">
        <f aca="false">_Engine_R50!U166</f>
        <v>0</v>
      </c>
      <c r="EH21" s="46" t="n">
        <f aca="false">_Engine_R50!U167</f>
        <v>0</v>
      </c>
      <c r="EI21" s="46" t="n">
        <f aca="false">_Engine_R50!U168</f>
        <v>0</v>
      </c>
      <c r="EJ21" s="46" t="n">
        <f aca="false">_Engine_R50!U169</f>
        <v>0</v>
      </c>
      <c r="EK21" s="46" t="n">
        <f aca="false">_Engine_R50!U170</f>
        <v>0</v>
      </c>
      <c r="EL21" s="46" t="n">
        <f aca="false">_Engine_R50!U171</f>
        <v>0</v>
      </c>
      <c r="EM21" s="46" t="n">
        <f aca="false">_Engine_R50!U172</f>
        <v>0</v>
      </c>
      <c r="EN21" s="46" t="n">
        <f aca="false">_Engine_R50!U173</f>
        <v>0</v>
      </c>
      <c r="EO21" s="46" t="n">
        <f aca="false">_Engine_R50!U174</f>
        <v>0</v>
      </c>
      <c r="EP21" s="170" t="n">
        <f aca="false">_Engine_R50!U175</f>
        <v>0</v>
      </c>
      <c r="EQ21" s="170" t="n">
        <f aca="false">_Engine_R50!U176</f>
        <v>0</v>
      </c>
      <c r="ER21" s="170" t="n">
        <f aca="false">_Engine_R50!U177</f>
        <v>0</v>
      </c>
      <c r="ES21" s="170" t="n">
        <f aca="false">_Engine_R50!U178</f>
        <v>0</v>
      </c>
      <c r="ET21" s="170" t="n">
        <f aca="false">_Engine_R50!U179</f>
        <v>0</v>
      </c>
      <c r="EU21" s="170" t="n">
        <f aca="false">_Engine_R50!U180</f>
        <v>0</v>
      </c>
      <c r="EV21" s="170" t="n">
        <f aca="false">_Engine_R50!U181</f>
        <v>0</v>
      </c>
      <c r="EW21" s="170" t="n">
        <f aca="false">_Engine_R50!U182</f>
        <v>0</v>
      </c>
      <c r="EX21" s="170" t="n">
        <f aca="false">_Engine_R50!U183</f>
        <v>0</v>
      </c>
      <c r="EY21" s="170" t="n">
        <f aca="false">_Engine_R50!U184</f>
        <v>0</v>
      </c>
      <c r="EZ21" s="170" t="n">
        <f aca="false">_Engine_R50!U185</f>
        <v>0</v>
      </c>
      <c r="FA21" s="170" t="n">
        <f aca="false">_Engine_R50!U186</f>
        <v>0</v>
      </c>
      <c r="FB21" s="46" t="n">
        <f aca="false">_Engine_R50!U187</f>
        <v>0</v>
      </c>
      <c r="FC21" s="46" t="n">
        <f aca="false">_Engine_R50!U188</f>
        <v>0</v>
      </c>
      <c r="FD21" s="46" t="n">
        <f aca="false">_Engine_R50!U189</f>
        <v>0</v>
      </c>
      <c r="FE21" s="46" t="n">
        <f aca="false">_Engine_R50!U190</f>
        <v>0</v>
      </c>
      <c r="FF21" s="46" t="n">
        <f aca="false">_Engine_R50!U191</f>
        <v>0</v>
      </c>
      <c r="FG21" s="46" t="n">
        <f aca="false">_Engine_R50!U192</f>
        <v>0</v>
      </c>
      <c r="FH21" s="46" t="n">
        <f aca="false">_Engine_R50!U193</f>
        <v>0</v>
      </c>
      <c r="FI21" s="46" t="n">
        <f aca="false">_Engine_R50!U194</f>
        <v>0</v>
      </c>
      <c r="FJ21" s="46" t="n">
        <f aca="false">_Engine_R50!U195</f>
        <v>0</v>
      </c>
      <c r="FK21" s="46" t="n">
        <f aca="false">_Engine_R50!U196</f>
        <v>0</v>
      </c>
      <c r="FL21" s="46" t="n">
        <f aca="false">_Engine_R50!U197</f>
        <v>0</v>
      </c>
      <c r="FM21" s="46" t="n">
        <f aca="false">_Engine_R50!U198</f>
        <v>0</v>
      </c>
      <c r="FN21" s="170" t="n">
        <f aca="false">_Engine_R50!U199</f>
        <v>0</v>
      </c>
      <c r="FO21" s="170" t="n">
        <f aca="false">_Engine_R50!U200</f>
        <v>0</v>
      </c>
      <c r="FP21" s="170" t="n">
        <f aca="false">_Engine_R50!U201</f>
        <v>0</v>
      </c>
      <c r="FQ21" s="170" t="n">
        <f aca="false">_Engine_R50!U202</f>
        <v>0</v>
      </c>
      <c r="FR21" s="170" t="n">
        <f aca="false">_Engine_R50!U203</f>
        <v>0</v>
      </c>
      <c r="FS21" s="170" t="n">
        <f aca="false">_Engine_R50!U204</f>
        <v>0</v>
      </c>
      <c r="FT21" s="170" t="n">
        <f aca="false">_Engine_R50!U205</f>
        <v>0</v>
      </c>
      <c r="FU21" s="170" t="n">
        <f aca="false">_Engine_R50!U206</f>
        <v>0</v>
      </c>
      <c r="FV21" s="170" t="n">
        <f aca="false">_Engine_R50!U207</f>
        <v>0</v>
      </c>
      <c r="FW21" s="170" t="n">
        <f aca="false">_Engine_R50!U208</f>
        <v>0</v>
      </c>
      <c r="FX21" s="170" t="n">
        <f aca="false">_Engine_R50!U209</f>
        <v>0</v>
      </c>
      <c r="FY21" s="170" t="n">
        <f aca="false">_Engine_R50!U210</f>
        <v>0</v>
      </c>
      <c r="FZ21" s="1"/>
    </row>
    <row r="22" customFormat="false" ht="15" hidden="false" customHeight="true" outlineLevel="0" collapsed="false">
      <c r="A22" s="17" t="s">
        <v>240</v>
      </c>
      <c r="B22" s="170" t="n">
        <f aca="false">B17+B18+B19+B20+B21+B14</f>
        <v>0.288105825</v>
      </c>
      <c r="C22" s="170" t="n">
        <f aca="false">C17+C18+C19+C20+C21+C14</f>
        <v>0.288105825</v>
      </c>
      <c r="D22" s="170" t="n">
        <f aca="false">D17+D18+D19+D20+D21+D14</f>
        <v>0.288105825</v>
      </c>
      <c r="E22" s="170" t="n">
        <f aca="false">E17+E18+E19+E20+E21+E14</f>
        <v>1.89227249166667</v>
      </c>
      <c r="F22" s="170" t="n">
        <f aca="false">F17+F18+F19+F20+F21+F14</f>
        <v>1.70373974803482</v>
      </c>
      <c r="G22" s="170" t="n">
        <f aca="false">G17+G18+G19+G20+G21+G14</f>
        <v>1.51521496381609</v>
      </c>
      <c r="H22" s="170" t="n">
        <f aca="false">H17+H18+H19+H20+H21+H14</f>
        <v>1.32669810506104</v>
      </c>
      <c r="I22" s="170" t="n">
        <f aca="false">I17+I18+I19+I20+I21+I14</f>
        <v>2.74235580463172</v>
      </c>
      <c r="J22" s="170" t="n">
        <f aca="false">J17+J18+J19+J20+J21+J14</f>
        <v>2.36336357407501</v>
      </c>
      <c r="K22" s="170" t="n">
        <f aca="false">K17+K18+K19+K20+K21+K14</f>
        <v>2.15811630359965</v>
      </c>
      <c r="L22" s="170" t="n">
        <f aca="false">L17+L18+L19+L20+L21+L14</f>
        <v>1.95290996387941</v>
      </c>
      <c r="M22" s="170" t="n">
        <f aca="false">M17+M18+M19+M20+M21+M14</f>
        <v>3.3519108986555</v>
      </c>
      <c r="N22" s="46" t="n">
        <f aca="false">N17+N18+N19+N20+N21+N14</f>
        <v>3.29917139419223</v>
      </c>
      <c r="O22" s="46" t="n">
        <f aca="false">O17+O18+O19+O20+O21+O14</f>
        <v>3.07531689783703</v>
      </c>
      <c r="P22" s="46" t="n">
        <f aca="false">P17+P18+P19+P20+P21+P14</f>
        <v>2.85158015928793</v>
      </c>
      <c r="Q22" s="46" t="n">
        <f aca="false">Q17+Q18+Q19+Q20+Q21+Q14</f>
        <v>4.23212648221232</v>
      </c>
      <c r="R22" s="46" t="n">
        <f aca="false">R17+R18+R19+R20+R21+R14</f>
        <v>3.8160692935106</v>
      </c>
      <c r="S22" s="46" t="n">
        <f aca="false">S17+S18+S19+S20+S21+S14</f>
        <v>3.57390869502026</v>
      </c>
      <c r="T22" s="46" t="n">
        <f aca="false">T17+T18+T19+T20+T21+T14</f>
        <v>3.33193860459655</v>
      </c>
      <c r="U22" s="46" t="n">
        <f aca="false">U17+U18+U19+U20+U21+U14</f>
        <v>3.09015667421357</v>
      </c>
      <c r="V22" s="46" t="n">
        <f aca="false">V17+V18+V19+V20+V21+V14</f>
        <v>2.84856058586393</v>
      </c>
      <c r="W22" s="46" t="n">
        <f aca="false">W17+W18+W19+W20+W21+W14</f>
        <v>2.780851754871</v>
      </c>
      <c r="X22" s="46" t="n">
        <f aca="false">X17+X18+X19+X20+X21+X14</f>
        <v>2.71332421839157</v>
      </c>
      <c r="Y22" s="46" t="n">
        <f aca="false">Y17+Y18+Y19+Y20+Y21+Y14</f>
        <v>2.64597574614574</v>
      </c>
      <c r="Z22" s="170" t="n">
        <f aca="false">Z17+Z18+Z19+Z20+Z21+Z14</f>
        <v>2.58217714467044</v>
      </c>
      <c r="AA22" s="170" t="n">
        <f aca="false">AA17+AA18+AA19+AA20+AA21+AA14</f>
        <v>2.5151802236149</v>
      </c>
      <c r="AB22" s="170" t="n">
        <f aca="false">AB17+AB18+AB19+AB20+AB21+AB14</f>
        <v>2.44835584537435</v>
      </c>
      <c r="AC22" s="170" t="n">
        <f aca="false">AC17+AC18+AC19+AC20+AC21+AC14</f>
        <v>2.3946648543582</v>
      </c>
      <c r="AD22" s="170" t="n">
        <f aca="false">AD17+AD18+AD19+AD20+AD21+AD14</f>
        <v>2.34114219607779</v>
      </c>
      <c r="AE22" s="170" t="n">
        <f aca="false">AE17+AE18+AE19+AE20+AE21+AE14</f>
        <v>2.28778580568325</v>
      </c>
      <c r="AF22" s="170" t="n">
        <f aca="false">AF17+AF18+AF19+AF20+AF21+AF14</f>
        <v>2.23459364465324</v>
      </c>
      <c r="AG22" s="170" t="n">
        <f aca="false">AG17+AG18+AG19+AG20+AG21+AG14</f>
        <v>3.67619333008173</v>
      </c>
      <c r="AH22" s="170" t="n">
        <f aca="false">AH17+AH18+AH19+AH20+AH21+AH14</f>
        <v>3.44827633670265</v>
      </c>
      <c r="AI22" s="170" t="n">
        <f aca="false">AI17+AI18+AI19+AI20+AI21+AI14</f>
        <v>3.22052334246715</v>
      </c>
      <c r="AJ22" s="170" t="n">
        <f aca="false">AJ17+AJ18+AJ19+AJ20+AJ21+AJ14</f>
        <v>2.99293238634135</v>
      </c>
      <c r="AK22" s="170" t="n">
        <f aca="false">AK17+AK18+AK19+AK20+AK21+AK14</f>
        <v>2.77846449501775</v>
      </c>
      <c r="AL22" s="46" t="n">
        <f aca="false">AL17+AL18+AL19+AL20+AL21+AL14</f>
        <v>2.56415479370511</v>
      </c>
      <c r="AM22" s="46" t="n">
        <f aca="false">AM17+AM18+AM19+AM20+AM21+AM14</f>
        <v>2.52370509840407</v>
      </c>
      <c r="AN22" s="46" t="n">
        <f aca="false">AN17+AN18+AN19+AN20+AN21+AN14</f>
        <v>2.48340984152024</v>
      </c>
      <c r="AO22" s="46" t="n">
        <f aca="false">AO17+AO18+AO19+AO20+AO21+AO14</f>
        <v>2.4562301456295</v>
      </c>
      <c r="AP22" s="46" t="n">
        <f aca="false">AP17+AP18+AP19+AP20+AP21+AP14</f>
        <v>2.42920123058083</v>
      </c>
      <c r="AQ22" s="46" t="n">
        <f aca="false">AQ17+AQ18+AQ19+AQ20+AQ21+AQ14</f>
        <v>2.4023213020845</v>
      </c>
      <c r="AR22" s="46" t="n">
        <f aca="false">AR17+AR18+AR19+AR20+AR21+AR14</f>
        <v>2.37558858845241</v>
      </c>
      <c r="AS22" s="46" t="n">
        <f aca="false">AS17+AS18+AS19+AS20+AS21+AS14</f>
        <v>2.34900134030531</v>
      </c>
      <c r="AT22" s="46" t="n">
        <f aca="false">AT17+AT18+AT19+AT20+AT21+AT14</f>
        <v>2.32255783028386</v>
      </c>
      <c r="AU22" s="46" t="n">
        <f aca="false">AU17+AU18+AU19+AU20+AU21+AU14</f>
        <v>2.29625635276347</v>
      </c>
      <c r="AV22" s="46" t="n">
        <f aca="false">AV17+AV18+AV19+AV20+AV21+AV14</f>
        <v>2.2700952235729</v>
      </c>
      <c r="AW22" s="46" t="n">
        <f aca="false">AW17+AW18+AW19+AW20+AW21+AW14</f>
        <v>2.24407277971658</v>
      </c>
      <c r="AX22" s="170" t="n">
        <f aca="false">AX17+AX18+AX19+AX20+AX21+AX14</f>
        <v>2.21818737910052</v>
      </c>
      <c r="AY22" s="170" t="n">
        <f aca="false">AY17+AY18+AY19+AY20+AY21+AY14</f>
        <v>2.19243740026193</v>
      </c>
      <c r="AZ22" s="170" t="n">
        <f aca="false">AZ17+AZ18+AZ19+AZ20+AZ21+AZ14</f>
        <v>2.16682124210224</v>
      </c>
      <c r="BA22" s="170" t="n">
        <f aca="false">BA17+BA18+BA19+BA20+BA21+BA14</f>
        <v>2.14133732362377</v>
      </c>
      <c r="BB22" s="170" t="n">
        <f aca="false">BB17+BB18+BB19+BB20+BB21+BB14</f>
        <v>2.11598408366978</v>
      </c>
      <c r="BC22" s="170" t="n">
        <f aca="false">BC17+BC18+BC19+BC20+BC21+BC14</f>
        <v>2.09075998066797</v>
      </c>
      <c r="BD22" s="170" t="n">
        <f aca="false">BD17+BD18+BD19+BD20+BD21+BD14</f>
        <v>2.06566349237729</v>
      </c>
      <c r="BE22" s="170" t="n">
        <f aca="false">BE17+BE18+BE19+BE20+BE21+BE14</f>
        <v>2.05365607860115</v>
      </c>
      <c r="BF22" s="170" t="n">
        <f aca="false">BF17+BF18+BF19+BF20+BF21+BF14</f>
        <v>2.04177329205192</v>
      </c>
      <c r="BG22" s="170" t="n">
        <f aca="false">BG17+BG18+BG19+BG20+BG21+BG14</f>
        <v>2.03001366699656</v>
      </c>
      <c r="BH22" s="170" t="n">
        <f aca="false">BH17+BH18+BH19+BH20+BH21+BH14</f>
        <v>2.01837575605352</v>
      </c>
      <c r="BI22" s="170" t="n">
        <f aca="false">BI17+BI18+BI19+BI20+BI21+BI14</f>
        <v>2.00685812995578</v>
      </c>
      <c r="BJ22" s="46" t="n">
        <f aca="false">BJ17+BJ18+BJ19+BJ20+BJ21+BJ14</f>
        <v>1.99545937731702</v>
      </c>
      <c r="BK22" s="46" t="n">
        <f aca="false">BK17+BK18+BK19+BK20+BK21+BK14</f>
        <v>1.98417810440082</v>
      </c>
      <c r="BL22" s="46" t="n">
        <f aca="false">BL17+BL18+BL19+BL20+BL21+BL14</f>
        <v>1.9730129348929</v>
      </c>
      <c r="BM22" s="46" t="n">
        <f aca="false">BM17+BM18+BM19+BM20+BM21+BM14</f>
        <v>1.96196250967637</v>
      </c>
      <c r="BN22" s="46" t="n">
        <f aca="false">BN17+BN18+BN19+BN20+BN21+BN14</f>
        <v>1.95102548660991</v>
      </c>
      <c r="BO22" s="46" t="n">
        <f aca="false">BO17+BO18+BO19+BO20+BO21+BO14</f>
        <v>1.94020054030884</v>
      </c>
      <c r="BP22" s="46" t="n">
        <f aca="false">BP17+BP18+BP19+BP20+BP21+BP14</f>
        <v>1.92948636192911</v>
      </c>
      <c r="BQ22" s="46" t="n">
        <f aca="false">BQ17+BQ18+BQ19+BQ20+BQ21+BQ14</f>
        <v>1.91888165895405</v>
      </c>
      <c r="BR22" s="46" t="n">
        <f aca="false">BR17+BR18+BR19+BR20+BR21+BR14</f>
        <v>1.90838515498403</v>
      </c>
      <c r="BS22" s="46" t="n">
        <f aca="false">BS17+BS18+BS19+BS20+BS21+BS14</f>
        <v>1.89799558952873</v>
      </c>
      <c r="BT22" s="46" t="n">
        <f aca="false">BT17+BT18+BT19+BT20+BT21+BT14</f>
        <v>1.88771171780227</v>
      </c>
      <c r="BU22" s="46" t="n">
        <f aca="false">BU17+BU18+BU19+BU20+BU21+BU14</f>
        <v>1.87753231052091</v>
      </c>
      <c r="BV22" s="170" t="n">
        <f aca="false">BV17+BV18+BV19+BV20+BV21+BV14</f>
        <v>1.86745615370351</v>
      </c>
      <c r="BW22" s="170" t="n">
        <f aca="false">BW17+BW18+BW19+BW20+BW21+BW14</f>
        <v>1.8574820484745</v>
      </c>
      <c r="BX22" s="170" t="n">
        <f aca="false">BX17+BX18+BX19+BX20+BX21+BX14</f>
        <v>1.84760881086952</v>
      </c>
      <c r="BY22" s="170" t="n">
        <f aca="false">BY17+BY18+BY19+BY20+BY21+BY14</f>
        <v>1.83783527164353</v>
      </c>
      <c r="BZ22" s="170" t="n">
        <f aca="false">BZ17+BZ18+BZ19+BZ20+BZ21+BZ14</f>
        <v>1.82816027608152</v>
      </c>
      <c r="CA22" s="170" t="n">
        <f aca="false">CA17+CA18+CA19+CA20+CA21+CA14</f>
        <v>1.81858268381156</v>
      </c>
      <c r="CB22" s="170" t="n">
        <f aca="false">CB17+CB18+CB19+CB20+CB21+CB14</f>
        <v>1.8091013686205</v>
      </c>
      <c r="CC22" s="170" t="n">
        <f aca="false">CC17+CC18+CC19+CC20+CC21+CC14</f>
        <v>1.79971521827187</v>
      </c>
      <c r="CD22" s="170" t="n">
        <f aca="false">CD17+CD18+CD19+CD20+CD21+CD14</f>
        <v>1.7904231343263</v>
      </c>
      <c r="CE22" s="170" t="n">
        <f aca="false">CE17+CE18+CE19+CE20+CE21+CE14</f>
        <v>1.78122403196428</v>
      </c>
      <c r="CF22" s="170" t="n">
        <f aca="false">CF17+CF18+CF19+CF20+CF21+CF14</f>
        <v>1.77211683981115</v>
      </c>
      <c r="CG22" s="170" t="n">
        <f aca="false">CG17+CG18+CG19+CG20+CG21+CG14</f>
        <v>1.76310049976449</v>
      </c>
      <c r="CH22" s="46" t="n">
        <f aca="false">CH17+CH18+CH19+CH20+CH21+CH14</f>
        <v>1.7541739668237</v>
      </c>
      <c r="CI22" s="46" t="n">
        <f aca="false">CI17+CI18+CI19+CI20+CI21+CI14</f>
        <v>1.74533620892185</v>
      </c>
      <c r="CJ22" s="46" t="n">
        <f aca="false">CJ17+CJ18+CJ19+CJ20+CJ21+CJ14</f>
        <v>1.73658620675965</v>
      </c>
      <c r="CK22" s="46" t="n">
        <f aca="false">CK17+CK18+CK19+CK20+CK21+CK14</f>
        <v>1.72792295364171</v>
      </c>
      <c r="CL22" s="46" t="n">
        <f aca="false">CL17+CL18+CL19+CL20+CL21+CL14</f>
        <v>1.71934545531487</v>
      </c>
      <c r="CM22" s="46" t="n">
        <f aca="false">CM17+CM18+CM19+CM20+CM21+CM14</f>
        <v>1.71085272980861</v>
      </c>
      <c r="CN22" s="46" t="n">
        <f aca="false">CN17+CN18+CN19+CN20+CN21+CN14</f>
        <v>1.70244380727764</v>
      </c>
      <c r="CO22" s="46" t="n">
        <f aca="false">CO17+CO18+CO19+CO20+CO21+CO14</f>
        <v>1.69411772984646</v>
      </c>
      <c r="CP22" s="46" t="n">
        <f aca="false">CP17+CP18+CP19+CP20+CP21+CP14</f>
        <v>1.68587355145601</v>
      </c>
      <c r="CQ22" s="46" t="n">
        <f aca="false">CQ17+CQ18+CQ19+CQ20+CQ21+CQ14</f>
        <v>1.6777103377123</v>
      </c>
      <c r="CR22" s="46" t="n">
        <f aca="false">CR17+CR18+CR19+CR20+CR21+CR14</f>
        <v>1.66962716573698</v>
      </c>
      <c r="CS22" s="46" t="n">
        <f aca="false">CS17+CS18+CS19+CS20+CS21+CS14</f>
        <v>1.66162312401997</v>
      </c>
      <c r="CT22" s="170" t="n">
        <f aca="false">CT17+CT18+CT19+CT20+CT21+CT14</f>
        <v>1.65369731227389</v>
      </c>
      <c r="CU22" s="170" t="n">
        <f aca="false">CU17+CU18+CU19+CU20+CU21+CU14</f>
        <v>1.64584884129044</v>
      </c>
      <c r="CV22" s="170" t="n">
        <f aca="false">CV17+CV18+CV19+CV20+CV21+CV14</f>
        <v>1.63807683279871</v>
      </c>
      <c r="CW22" s="170" t="n">
        <f aca="false">CW17+CW18+CW19+CW20+CW21+CW14</f>
        <v>1.63038041932526</v>
      </c>
      <c r="CX22" s="170" t="n">
        <f aca="false">CX17+CX18+CX19+CX20+CX21+CX14</f>
        <v>1.62275874405603</v>
      </c>
      <c r="CY22" s="170" t="n">
        <f aca="false">CY17+CY18+CY19+CY20+CY21+CY14</f>
        <v>1.61521096070014</v>
      </c>
      <c r="CZ22" s="170" t="n">
        <f aca="false">CZ17+CZ18+CZ19+CZ20+CZ21+CZ14</f>
        <v>1.60773623335534</v>
      </c>
      <c r="DA22" s="170" t="n">
        <f aca="false">DA17+DA18+DA19+DA20+DA21+DA14</f>
        <v>1.60033373637535</v>
      </c>
      <c r="DB22" s="170" t="n">
        <f aca="false">DB17+DB18+DB19+DB20+DB21+DB14</f>
        <v>1.59300265423878</v>
      </c>
      <c r="DC22" s="170" t="n">
        <f aca="false">DC17+DC18+DC19+DC20+DC21+DC14</f>
        <v>1.58574218141993</v>
      </c>
      <c r="DD22" s="170" t="n">
        <f aca="false">DD17+DD18+DD19+DD20+DD21+DD14</f>
        <v>1.5785515222611</v>
      </c>
      <c r="DE22" s="170" t="n">
        <f aca="false">DE17+DE18+DE19+DE20+DE21+DE14</f>
        <v>1.57142989084671</v>
      </c>
      <c r="DF22" s="46" t="n">
        <f aca="false">DF17+DF18+DF19+DF20+DF21+DF14</f>
        <v>1.56437651087898</v>
      </c>
      <c r="DG22" s="46" t="n">
        <f aca="false">DG17+DG18+DG19+DG20+DG21+DG14</f>
        <v>1.55739061555525</v>
      </c>
      <c r="DH22" s="46" t="n">
        <f aca="false">DH17+DH18+DH19+DH20+DH21+DH14</f>
        <v>1.5504714474469</v>
      </c>
      <c r="DI22" s="46" t="n">
        <f aca="false">DI17+DI18+DI19+DI20+DI21+DI14</f>
        <v>1.54361825837987</v>
      </c>
      <c r="DJ22" s="46" t="n">
        <f aca="false">DJ17+DJ18+DJ19+DJ20+DJ21+DJ14</f>
        <v>1.53683030931667</v>
      </c>
      <c r="DK22" s="46" t="n">
        <f aca="false">DK17+DK18+DK19+DK20+DK21+DK14</f>
        <v>1.53010687024002</v>
      </c>
      <c r="DL22" s="46" t="n">
        <f aca="false">DL17+DL18+DL19+DL20+DL21+DL14</f>
        <v>1.5234472200379</v>
      </c>
      <c r="DM22" s="46" t="n">
        <f aca="false">DM17+DM18+DM19+DM20+DM21+DM14</f>
        <v>1.51685064639023</v>
      </c>
      <c r="DN22" s="46" t="n">
        <f aca="false">DN17+DN18+DN19+DN20+DN21+DN14</f>
        <v>1.51031644565688</v>
      </c>
      <c r="DO22" s="46" t="n">
        <f aca="false">DO17+DO18+DO19+DO20+DO21+DO14</f>
        <v>1.50384392276724</v>
      </c>
      <c r="DP22" s="46" t="n">
        <f aca="false">DP17+DP18+DP19+DP20+DP21+DP14</f>
        <v>1.49743239111118</v>
      </c>
      <c r="DQ22" s="46" t="n">
        <f aca="false">DQ17+DQ18+DQ19+DQ20+DQ21+DQ14</f>
        <v>1.49108117243146</v>
      </c>
      <c r="DR22" s="170" t="n">
        <f aca="false">DR17+DR18+DR19+DR20+DR21+DR14</f>
        <v>1.4847895967175</v>
      </c>
      <c r="DS22" s="170" t="n">
        <f aca="false">DS17+DS18+DS19+DS20+DS21+DS14</f>
        <v>1.47855700210057</v>
      </c>
      <c r="DT22" s="170" t="n">
        <f aca="false">DT17+DT18+DT19+DT20+DT21+DT14</f>
        <v>1.47238273475033</v>
      </c>
      <c r="DU22" s="170" t="n">
        <f aca="false">DU17+DU18+DU19+DU20+DU21+DU14</f>
        <v>1.4662661487727</v>
      </c>
      <c r="DV22" s="170" t="n">
        <f aca="false">DV17+DV18+DV19+DV20+DV21+DV14</f>
        <v>1.46020660610908</v>
      </c>
      <c r="DW22" s="170" t="n">
        <f aca="false">DW17+DW18+DW19+DW20+DW21+DW14</f>
        <v>1.45420347643687</v>
      </c>
      <c r="DX22" s="170" t="n">
        <f aca="false">DX17+DX18+DX19+DX20+DX21+DX14</f>
        <v>1.44825613707127</v>
      </c>
      <c r="DY22" s="170" t="n">
        <f aca="false">DY17+DY18+DY19+DY20+DY21+DY14</f>
        <v>1.44236397286839</v>
      </c>
      <c r="DZ22" s="170" t="n">
        <f aca="false">DZ17+DZ18+DZ19+DZ20+DZ21+DZ14</f>
        <v>1.4365263761296</v>
      </c>
      <c r="EA22" s="170" t="n">
        <f aca="false">EA17+EA18+EA19+EA20+EA21+EA14</f>
        <v>1.43074274650709</v>
      </c>
      <c r="EB22" s="170" t="n">
        <f aca="false">EB17+EB18+EB19+EB20+EB21+EB14</f>
        <v>1.42501249091074</v>
      </c>
      <c r="EC22" s="170" t="n">
        <f aca="false">EC17+EC18+EC19+EC20+EC21+EC14</f>
        <v>1.41933502341608</v>
      </c>
      <c r="ED22" s="46" t="n">
        <f aca="false">ED17+ED18+ED19+ED20+ED21+ED14</f>
        <v>1.41370976517358</v>
      </c>
      <c r="EE22" s="46" t="n">
        <f aca="false">EE17+EE18+EE19+EE20+EE21+EE14</f>
        <v>1.40813614431901</v>
      </c>
      <c r="EF22" s="46" t="n">
        <f aca="false">EF17+EF18+EF19+EF20+EF21+EF14</f>
        <v>1.40261359588501</v>
      </c>
      <c r="EG22" s="46" t="n">
        <f aca="false">EG17+EG18+EG19+EG20+EG21+EG14</f>
        <v>1.3971415617138</v>
      </c>
      <c r="EH22" s="46" t="n">
        <f aca="false">EH17+EH18+EH19+EH20+EH21+EH14</f>
        <v>1.39171949037103</v>
      </c>
      <c r="EI22" s="46" t="n">
        <f aca="false">EI17+EI18+EI19+EI20+EI21+EI14</f>
        <v>1.38634683706073</v>
      </c>
      <c r="EJ22" s="46" t="n">
        <f aca="false">EJ17+EJ18+EJ19+EJ20+EJ21+EJ14</f>
        <v>1.38102306354141</v>
      </c>
      <c r="EK22" s="46" t="n">
        <f aca="false">EK17+EK18+EK19+EK20+EK21+EK14</f>
        <v>1.37574763804314</v>
      </c>
      <c r="EL22" s="46" t="n">
        <f aca="false">EL17+EL18+EL19+EL20+EL21+EL14</f>
        <v>1.37052003518586</v>
      </c>
      <c r="EM22" s="46" t="n">
        <f aca="false">EM17+EM18+EM19+EM20+EM21+EM14</f>
        <v>1.3653397358986</v>
      </c>
      <c r="EN22" s="46" t="n">
        <f aca="false">EN17+EN18+EN19+EN20+EN21+EN14</f>
        <v>1.36020622733984</v>
      </c>
      <c r="EO22" s="46" t="n">
        <f aca="false">EO17+EO18+EO19+EO20+EO21+EO14</f>
        <v>1.35511900281889</v>
      </c>
      <c r="EP22" s="170" t="n">
        <f aca="false">EP17+EP18+EP19+EP20+EP21+EP14</f>
        <v>1.35007756171824</v>
      </c>
      <c r="EQ22" s="170" t="n">
        <f aca="false">EQ17+EQ18+EQ19+EQ20+EQ21+EQ14</f>
        <v>1.34508140941697</v>
      </c>
      <c r="ER22" s="170" t="n">
        <f aca="false">ER17+ER18+ER19+ER20+ER21+ER14</f>
        <v>1.34013005721513</v>
      </c>
      <c r="ES22" s="170" t="n">
        <f aca="false">ES17+ES18+ES19+ES20+ES21+ES14</f>
        <v>1.33522302225908</v>
      </c>
      <c r="ET22" s="170" t="n">
        <f aca="false">ET17+ET18+ET19+ET20+ET21+ET14</f>
        <v>1.33035982746786</v>
      </c>
      <c r="EU22" s="170" t="n">
        <f aca="false">EU17+EU18+EU19+EU20+EU21+EU14</f>
        <v>1.32554000146041</v>
      </c>
      <c r="EV22" s="170" t="n">
        <f aca="false">EV17+EV18+EV19+EV20+EV21+EV14</f>
        <v>1.32076307848385</v>
      </c>
      <c r="EW22" s="170" t="n">
        <f aca="false">EW17+EW18+EW19+EW20+EW21+EW14</f>
        <v>1.31602859834258</v>
      </c>
      <c r="EX22" s="170" t="n">
        <f aca="false">EX17+EX18+EX19+EX20+EX21+EX14</f>
        <v>1.31133610632837</v>
      </c>
      <c r="EY22" s="170" t="n">
        <f aca="false">EY17+EY18+EY19+EY20+EY21+EY14</f>
        <v>1.30668515315135</v>
      </c>
      <c r="EZ22" s="170" t="n">
        <f aca="false">EZ17+EZ18+EZ19+EZ20+EZ21+EZ14</f>
        <v>1.30207529487182</v>
      </c>
      <c r="FA22" s="170" t="n">
        <f aca="false">FA17+FA18+FA19+FA20+FA21+FA14</f>
        <v>1.29750609283304</v>
      </c>
      <c r="FB22" s="46" t="n">
        <f aca="false">FB17+FB18+FB19+FB20+FB21+FB14</f>
        <v>1.29297711359482</v>
      </c>
      <c r="FC22" s="46" t="n">
        <f aca="false">FC17+FC18+FC19+FC20+FC21+FC14</f>
        <v>1.28848792886801</v>
      </c>
      <c r="FD22" s="46" t="n">
        <f aca="false">FD17+FD18+FD19+FD20+FD21+FD14</f>
        <v>1.28403811544979</v>
      </c>
      <c r="FE22" s="46" t="n">
        <f aca="false">FE17+FE18+FE19+FE20+FE21+FE14</f>
        <v>1.27962725515984</v>
      </c>
      <c r="FF22" s="46" t="n">
        <f aca="false">FF17+FF18+FF19+FF20+FF21+FF14</f>
        <v>1.27525493477733</v>
      </c>
      <c r="FG22" s="46" t="n">
        <f aca="false">FG17+FG18+FG19+FG20+FG21+FG14</f>
        <v>1.27092074597868</v>
      </c>
      <c r="FH22" s="46" t="n">
        <f aca="false">FH17+FH18+FH19+FH20+FH21+FH14</f>
        <v>1.26662428527616</v>
      </c>
      <c r="FI22" s="46" t="n">
        <f aca="false">FI17+FI18+FI19+FI20+FI21+FI14</f>
        <v>1.26236515395732</v>
      </c>
      <c r="FJ22" s="46" t="n">
        <f aca="false">FJ17+FJ18+FJ19+FJ20+FJ21+FJ14</f>
        <v>1.25814295802511</v>
      </c>
      <c r="FK22" s="46" t="n">
        <f aca="false">FK17+FK18+FK19+FK20+FK21+FK14</f>
        <v>1.25395730813881</v>
      </c>
      <c r="FL22" s="46" t="n">
        <f aca="false">FL17+FL18+FL19+FL20+FL21+FL14</f>
        <v>1.24980781955581</v>
      </c>
      <c r="FM22" s="46" t="n">
        <f aca="false">FM17+FM18+FM19+FM20+FM21+FM14</f>
        <v>1.24569411207397</v>
      </c>
      <c r="FN22" s="170" t="n">
        <f aca="false">FN17+FN18+FN19+FN20+FN21+FN14</f>
        <v>1.24161580997488</v>
      </c>
      <c r="FO22" s="170" t="n">
        <f aca="false">FO17+FO18+FO19+FO20+FO21+FO14</f>
        <v>1.23757254196777</v>
      </c>
      <c r="FP22" s="170" t="n">
        <f aca="false">FP17+FP18+FP19+FP20+FP21+FP14</f>
        <v>1.23356394113414</v>
      </c>
      <c r="FQ22" s="170" t="n">
        <f aca="false">FQ17+FQ18+FQ19+FQ20+FQ21+FQ14</f>
        <v>1.22958964487316</v>
      </c>
      <c r="FR22" s="170" t="n">
        <f aca="false">FR17+FR18+FR19+FR20+FR21+FR14</f>
        <v>1.22564929484771</v>
      </c>
      <c r="FS22" s="170" t="n">
        <f aca="false">FS17+FS18+FS19+FS20+FS21+FS14</f>
        <v>1.22174253693116</v>
      </c>
      <c r="FT22" s="170" t="n">
        <f aca="false">FT17+FT18+FT19+FT20+FT21+FT14</f>
        <v>1.21786902115482</v>
      </c>
      <c r="FU22" s="170" t="n">
        <f aca="false">FU17+FU18+FU19+FU20+FU21+FU14</f>
        <v>1.21402840165603</v>
      </c>
      <c r="FV22" s="170" t="n">
        <f aca="false">FV17+FV18+FV19+FV20+FV21+FV14</f>
        <v>1.21022033662699</v>
      </c>
      <c r="FW22" s="170" t="n">
        <f aca="false">FW17+FW18+FW19+FW20+FW21+FW14</f>
        <v>1.20644448826421</v>
      </c>
      <c r="FX22" s="170" t="n">
        <f aca="false">FX17+FX18+FX19+FX20+FX21+FX14</f>
        <v>1.20270052271859</v>
      </c>
      <c r="FY22" s="170" t="n">
        <f aca="false">FY17+FY18+FY19+FY20+FY21+FY14</f>
        <v>1.19898811004616</v>
      </c>
      <c r="FZ22" s="1"/>
    </row>
    <row r="23" customFormat="false" ht="15" hidden="false" customHeight="true" outlineLevel="0" collapsed="false">
      <c r="A23" s="17" t="s">
        <v>241</v>
      </c>
      <c r="B23" s="170" t="n">
        <v>0</v>
      </c>
      <c r="C23" s="170" t="n">
        <v>0</v>
      </c>
      <c r="D23" s="170" t="n">
        <v>0</v>
      </c>
      <c r="E23" s="170" t="n">
        <v>1.2587</v>
      </c>
      <c r="F23" s="170" t="n">
        <v>1.0927</v>
      </c>
      <c r="G23" s="170" t="n">
        <v>0.9309</v>
      </c>
      <c r="H23" s="170" t="n">
        <v>2.1106</v>
      </c>
      <c r="I23" s="170" t="n">
        <v>1.7807</v>
      </c>
      <c r="J23" s="170" t="n">
        <v>1.4592</v>
      </c>
      <c r="K23" s="170" t="n">
        <v>2.626</v>
      </c>
      <c r="L23" s="170" t="n">
        <v>2.21</v>
      </c>
      <c r="M23" s="170" t="n">
        <v>3.083</v>
      </c>
      <c r="N23" s="46" t="n">
        <v>2.5195</v>
      </c>
      <c r="O23" s="46" t="n">
        <v>2.06</v>
      </c>
      <c r="P23" s="46" t="n">
        <v>1.6124</v>
      </c>
      <c r="Q23" s="46" t="n">
        <v>2.4254</v>
      </c>
      <c r="R23" s="46" t="n">
        <v>1.9842</v>
      </c>
      <c r="S23" s="46" t="n">
        <v>1.5545</v>
      </c>
      <c r="T23" s="46" t="n">
        <v>1.2214</v>
      </c>
      <c r="U23" s="46" t="n">
        <v>0.9492</v>
      </c>
      <c r="V23" s="46" t="n">
        <v>0.6842</v>
      </c>
      <c r="W23" s="46" t="n">
        <v>0.4261</v>
      </c>
      <c r="X23" s="46" t="n">
        <v>0.3161</v>
      </c>
      <c r="Y23" s="46" t="n">
        <v>1.3889</v>
      </c>
      <c r="Z23" s="170" t="n">
        <v>1.179</v>
      </c>
      <c r="AA23" s="170" t="n">
        <v>0.9744</v>
      </c>
      <c r="AB23" s="170" t="n">
        <v>0.7751</v>
      </c>
      <c r="AC23" s="170" t="n">
        <v>0.581</v>
      </c>
      <c r="AD23" s="170" t="n">
        <v>0.4408</v>
      </c>
      <c r="AE23" s="170" t="n">
        <v>1.4842</v>
      </c>
      <c r="AF23" s="170" t="n">
        <v>1.2745</v>
      </c>
      <c r="AG23" s="170" t="n">
        <v>1.0701</v>
      </c>
      <c r="AH23" s="170" t="n">
        <v>0.871</v>
      </c>
      <c r="AI23" s="170" t="n">
        <v>0.6771</v>
      </c>
      <c r="AJ23" s="170" t="n">
        <v>0.4882</v>
      </c>
      <c r="AK23" s="170" t="n">
        <v>1.4842</v>
      </c>
      <c r="AL23" s="46" t="n">
        <v>1.2745</v>
      </c>
      <c r="AM23" s="46" t="n">
        <v>1.0701</v>
      </c>
      <c r="AN23" s="46" t="n">
        <v>0.871</v>
      </c>
      <c r="AO23" s="46" t="n">
        <v>0.6771</v>
      </c>
      <c r="AP23" s="46" t="n">
        <v>0.4882</v>
      </c>
      <c r="AQ23" s="46" t="n">
        <v>0.3042</v>
      </c>
      <c r="AR23" s="46" t="n">
        <v>0.2501</v>
      </c>
      <c r="AS23" s="46" t="n">
        <v>0.1974</v>
      </c>
      <c r="AT23" s="46" t="n">
        <v>0.1461</v>
      </c>
      <c r="AU23" s="46" t="n">
        <v>0.0961</v>
      </c>
      <c r="AV23" s="46" t="n">
        <v>0.0474</v>
      </c>
      <c r="AW23" s="46" t="n">
        <v>0</v>
      </c>
      <c r="AX23" s="170" t="n">
        <v>0</v>
      </c>
      <c r="AY23" s="170" t="n">
        <v>0</v>
      </c>
      <c r="AZ23" s="170" t="n">
        <v>0</v>
      </c>
      <c r="BA23" s="170" t="n">
        <v>0</v>
      </c>
      <c r="BB23" s="170" t="n">
        <v>0</v>
      </c>
      <c r="BC23" s="170" t="n">
        <v>0</v>
      </c>
      <c r="BD23" s="170" t="n">
        <v>0</v>
      </c>
      <c r="BE23" s="170" t="n">
        <v>0</v>
      </c>
      <c r="BF23" s="170" t="n">
        <v>0</v>
      </c>
      <c r="BG23" s="170" t="n">
        <v>0</v>
      </c>
      <c r="BH23" s="170" t="n">
        <v>0</v>
      </c>
      <c r="BI23" s="170" t="n">
        <v>0</v>
      </c>
      <c r="BJ23" s="46" t="n">
        <v>0</v>
      </c>
      <c r="BK23" s="46" t="n">
        <v>0</v>
      </c>
      <c r="BL23" s="46" t="n">
        <v>0</v>
      </c>
      <c r="BM23" s="46" t="n">
        <v>0</v>
      </c>
      <c r="BN23" s="46" t="n">
        <v>0</v>
      </c>
      <c r="BO23" s="46" t="n">
        <v>0</v>
      </c>
      <c r="BP23" s="46" t="n">
        <v>0</v>
      </c>
      <c r="BQ23" s="46" t="n">
        <v>0</v>
      </c>
      <c r="BR23" s="46" t="n">
        <v>0</v>
      </c>
      <c r="BS23" s="46" t="n">
        <v>0</v>
      </c>
      <c r="BT23" s="46" t="n">
        <v>0</v>
      </c>
      <c r="BU23" s="46" t="n">
        <v>0</v>
      </c>
      <c r="BV23" s="170" t="n">
        <v>0</v>
      </c>
      <c r="BW23" s="170" t="n">
        <v>0</v>
      </c>
      <c r="BX23" s="170" t="n">
        <v>0</v>
      </c>
      <c r="BY23" s="170" t="n">
        <v>0</v>
      </c>
      <c r="BZ23" s="170" t="n">
        <v>0</v>
      </c>
      <c r="CA23" s="170" t="n">
        <v>0</v>
      </c>
      <c r="CB23" s="170" t="n">
        <v>0</v>
      </c>
      <c r="CC23" s="170" t="n">
        <v>0</v>
      </c>
      <c r="CD23" s="170" t="n">
        <v>0</v>
      </c>
      <c r="CE23" s="170" t="n">
        <v>0</v>
      </c>
      <c r="CF23" s="170" t="n">
        <v>0</v>
      </c>
      <c r="CG23" s="170" t="n">
        <v>0</v>
      </c>
      <c r="CH23" s="46" t="n">
        <v>0</v>
      </c>
      <c r="CI23" s="46" t="n">
        <v>0</v>
      </c>
      <c r="CJ23" s="46" t="n">
        <v>0</v>
      </c>
      <c r="CK23" s="46" t="n">
        <v>0</v>
      </c>
      <c r="CL23" s="46" t="n">
        <v>0</v>
      </c>
      <c r="CM23" s="46" t="n">
        <v>0</v>
      </c>
      <c r="CN23" s="46" t="n">
        <v>0</v>
      </c>
      <c r="CO23" s="46" t="n">
        <v>0</v>
      </c>
      <c r="CP23" s="46" t="n">
        <v>0</v>
      </c>
      <c r="CQ23" s="46" t="n">
        <v>0</v>
      </c>
      <c r="CR23" s="46" t="n">
        <v>0</v>
      </c>
      <c r="CS23" s="46" t="n">
        <v>0</v>
      </c>
      <c r="CT23" s="170" t="n">
        <v>0</v>
      </c>
      <c r="CU23" s="170" t="n">
        <v>0</v>
      </c>
      <c r="CV23" s="170" t="n">
        <v>0</v>
      </c>
      <c r="CW23" s="170" t="n">
        <v>0</v>
      </c>
      <c r="CX23" s="170" t="n">
        <v>0</v>
      </c>
      <c r="CY23" s="170" t="n">
        <v>0</v>
      </c>
      <c r="CZ23" s="170" t="n">
        <v>0</v>
      </c>
      <c r="DA23" s="170" t="n">
        <v>0</v>
      </c>
      <c r="DB23" s="170" t="n">
        <v>0</v>
      </c>
      <c r="DC23" s="170" t="n">
        <v>0</v>
      </c>
      <c r="DD23" s="170" t="n">
        <v>0</v>
      </c>
      <c r="DE23" s="170" t="n">
        <v>0</v>
      </c>
      <c r="DF23" s="46" t="n">
        <v>0</v>
      </c>
      <c r="DG23" s="46" t="n">
        <v>0</v>
      </c>
      <c r="DH23" s="46" t="n">
        <v>0</v>
      </c>
      <c r="DI23" s="46" t="n">
        <v>0</v>
      </c>
      <c r="DJ23" s="46" t="n">
        <v>0</v>
      </c>
      <c r="DK23" s="46" t="n">
        <v>0</v>
      </c>
      <c r="DL23" s="46" t="n">
        <v>0</v>
      </c>
      <c r="DM23" s="46" t="n">
        <v>0</v>
      </c>
      <c r="DN23" s="46" t="n">
        <v>0</v>
      </c>
      <c r="DO23" s="46" t="n">
        <v>0</v>
      </c>
      <c r="DP23" s="46" t="n">
        <v>0</v>
      </c>
      <c r="DQ23" s="46" t="n">
        <v>0</v>
      </c>
      <c r="DR23" s="170" t="n">
        <v>0</v>
      </c>
      <c r="DS23" s="170" t="n">
        <v>0</v>
      </c>
      <c r="DT23" s="170" t="n">
        <v>0</v>
      </c>
      <c r="DU23" s="170" t="n">
        <v>0</v>
      </c>
      <c r="DV23" s="170" t="n">
        <v>0</v>
      </c>
      <c r="DW23" s="170" t="n">
        <v>0</v>
      </c>
      <c r="DX23" s="170" t="n">
        <v>0</v>
      </c>
      <c r="DY23" s="170" t="n">
        <v>0</v>
      </c>
      <c r="DZ23" s="170" t="n">
        <v>0</v>
      </c>
      <c r="EA23" s="170" t="n">
        <v>0</v>
      </c>
      <c r="EB23" s="170" t="n">
        <v>0</v>
      </c>
      <c r="EC23" s="170" t="n">
        <v>0</v>
      </c>
      <c r="ED23" s="46" t="n">
        <v>0</v>
      </c>
      <c r="EE23" s="46" t="n">
        <v>0</v>
      </c>
      <c r="EF23" s="46" t="n">
        <v>0</v>
      </c>
      <c r="EG23" s="46" t="n">
        <v>0</v>
      </c>
      <c r="EH23" s="46" t="n">
        <v>0</v>
      </c>
      <c r="EI23" s="46" t="n">
        <v>0</v>
      </c>
      <c r="EJ23" s="46" t="n">
        <v>0</v>
      </c>
      <c r="EK23" s="46" t="n">
        <v>0</v>
      </c>
      <c r="EL23" s="46" t="n">
        <v>0</v>
      </c>
      <c r="EM23" s="46" t="n">
        <v>0</v>
      </c>
      <c r="EN23" s="46" t="n">
        <v>0</v>
      </c>
      <c r="EO23" s="46" t="n">
        <v>0</v>
      </c>
      <c r="EP23" s="170" t="n">
        <v>0</v>
      </c>
      <c r="EQ23" s="170" t="n">
        <v>0</v>
      </c>
      <c r="ER23" s="170" t="n">
        <v>0</v>
      </c>
      <c r="ES23" s="170" t="n">
        <v>0</v>
      </c>
      <c r="ET23" s="170" t="n">
        <v>0</v>
      </c>
      <c r="EU23" s="170" t="n">
        <v>0</v>
      </c>
      <c r="EV23" s="170" t="n">
        <v>0</v>
      </c>
      <c r="EW23" s="170" t="n">
        <v>0</v>
      </c>
      <c r="EX23" s="170" t="n">
        <v>0</v>
      </c>
      <c r="EY23" s="170" t="n">
        <v>0</v>
      </c>
      <c r="EZ23" s="170" t="n">
        <v>0</v>
      </c>
      <c r="FA23" s="170" t="n">
        <v>0</v>
      </c>
      <c r="FB23" s="46" t="n">
        <v>0</v>
      </c>
      <c r="FC23" s="46" t="n">
        <v>0</v>
      </c>
      <c r="FD23" s="46" t="n">
        <v>0</v>
      </c>
      <c r="FE23" s="46" t="n">
        <v>0</v>
      </c>
      <c r="FF23" s="46" t="n">
        <v>0</v>
      </c>
      <c r="FG23" s="46" t="n">
        <v>0</v>
      </c>
      <c r="FH23" s="46" t="n">
        <v>0</v>
      </c>
      <c r="FI23" s="46" t="n">
        <v>0</v>
      </c>
      <c r="FJ23" s="46" t="n">
        <v>0</v>
      </c>
      <c r="FK23" s="46" t="n">
        <v>0</v>
      </c>
      <c r="FL23" s="46" t="n">
        <v>0</v>
      </c>
      <c r="FM23" s="46" t="n">
        <v>0</v>
      </c>
      <c r="FN23" s="170" t="n">
        <v>0</v>
      </c>
      <c r="FO23" s="170" t="n">
        <v>0</v>
      </c>
      <c r="FP23" s="170" t="n">
        <v>0</v>
      </c>
      <c r="FQ23" s="170" t="n">
        <v>0</v>
      </c>
      <c r="FR23" s="170" t="n">
        <v>0</v>
      </c>
      <c r="FS23" s="170" t="n">
        <v>0</v>
      </c>
      <c r="FT23" s="170" t="n">
        <v>0</v>
      </c>
      <c r="FU23" s="170" t="n">
        <v>0</v>
      </c>
      <c r="FV23" s="170" t="n">
        <v>0</v>
      </c>
      <c r="FW23" s="170" t="n">
        <v>0</v>
      </c>
      <c r="FX23" s="170" t="n">
        <v>0</v>
      </c>
      <c r="FY23" s="170" t="n">
        <v>0</v>
      </c>
      <c r="FZ23" s="1"/>
    </row>
    <row r="24" customFormat="false" ht="15" hidden="false" customHeight="true" outlineLevel="0" collapsed="false">
      <c r="A24" s="17" t="s">
        <v>242</v>
      </c>
      <c r="B24" s="170" t="n">
        <f aca="false">_Engine_R50!V31</f>
        <v>-0.288105825</v>
      </c>
      <c r="C24" s="170" t="n">
        <f aca="false">_Engine_R50!V32</f>
        <v>-0.288105825</v>
      </c>
      <c r="D24" s="170" t="n">
        <f aca="false">_Engine_R50!V33</f>
        <v>-0.288105825</v>
      </c>
      <c r="E24" s="170" t="n">
        <f aca="false">_Engine_R50!V34</f>
        <v>0.191060841666667</v>
      </c>
      <c r="F24" s="170" t="n">
        <f aca="false">_Engine_R50!V35</f>
        <v>0.370707504511931</v>
      </c>
      <c r="G24" s="170" t="n">
        <f aca="false">_Engine_R50!V36</f>
        <v>0.550384109911314</v>
      </c>
      <c r="H24" s="170" t="n">
        <f aca="false">_Engine_R50!V37</f>
        <v>0.730090530150277</v>
      </c>
      <c r="I24" s="170" t="n">
        <f aca="false">_Engine_R50!V38</f>
        <v>1.38899330472569</v>
      </c>
      <c r="J24" s="170" t="n">
        <f aca="false">_Engine_R50!V39</f>
        <v>1.74103840564724</v>
      </c>
      <c r="K24" s="170" t="n">
        <f aca="false">_Engine_R50!V40</f>
        <v>1.91953500542866</v>
      </c>
      <c r="L24" s="170" t="n">
        <f aca="false">_Engine_R50!V41</f>
        <v>2.09818558281267</v>
      </c>
      <c r="M24" s="170" t="n">
        <f aca="false">_Engine_R50!V42</f>
        <v>2.75615558965112</v>
      </c>
      <c r="N24" s="46" t="n">
        <f aca="false">_Engine_R50!V43</f>
        <v>2.75469965839863</v>
      </c>
      <c r="O24" s="46" t="n">
        <f aca="false">_Engine_R50!V44</f>
        <v>2.92492604159855</v>
      </c>
      <c r="P24" s="46" t="n">
        <f aca="false">_Engine_R50!V45</f>
        <v>3.09559541845003</v>
      </c>
      <c r="Q24" s="46" t="n">
        <f aca="false">_Engine_R50!V46</f>
        <v>3.74586932814616</v>
      </c>
      <c r="R24" s="46" t="n">
        <f aca="false">_Engine_R50!V47</f>
        <v>4.08193637664568</v>
      </c>
      <c r="S24" s="46" t="n">
        <f aca="false">_Engine_R50!V48</f>
        <v>4.24502534211325</v>
      </c>
      <c r="T24" s="46" t="n">
        <f aca="false">_Engine_R50!V49</f>
        <v>4.40883098078384</v>
      </c>
      <c r="U24" s="46" t="n">
        <f aca="false">_Engine_R50!V50</f>
        <v>4.57334445960766</v>
      </c>
      <c r="V24" s="46" t="n">
        <f aca="false">_Engine_R50!V51</f>
        <v>4.73855705846166</v>
      </c>
      <c r="W24" s="46" t="n">
        <f aca="false">_Engine_R50!V52</f>
        <v>4.73075646497328</v>
      </c>
      <c r="X24" s="46" t="n">
        <f aca="false">_Engine_R50!V53</f>
        <v>4.72363788417852</v>
      </c>
      <c r="Y24" s="46" t="n">
        <f aca="false">_Engine_R50!V54</f>
        <v>4.71719292597684</v>
      </c>
      <c r="Z24" s="170" t="n">
        <f aca="false">_Engine_R50!V55</f>
        <v>4.70804029908651</v>
      </c>
      <c r="AA24" s="170" t="n">
        <f aca="false">_Engine_R50!V56</f>
        <v>4.70291784298161</v>
      </c>
      <c r="AB24" s="170" t="n">
        <f aca="false">_Engine_R50!V57</f>
        <v>4.69844447651408</v>
      </c>
      <c r="AC24" s="170" t="n">
        <f aca="false">_Engine_R50!V58</f>
        <v>4.68164926692423</v>
      </c>
      <c r="AD24" s="170" t="n">
        <f aca="false">_Engine_R50!V59</f>
        <v>4.66548730905453</v>
      </c>
      <c r="AE24" s="170" t="n">
        <f aca="false">_Engine_R50!V60</f>
        <v>4.64995083513647</v>
      </c>
      <c r="AF24" s="170" t="n">
        <f aca="false">_Engine_R50!V61</f>
        <v>4.63503217644684</v>
      </c>
      <c r="AG24" s="170" t="n">
        <f aca="false">_Engine_R50!V62</f>
        <v>4.6260941323886</v>
      </c>
      <c r="AH24" s="170" t="n">
        <f aca="false">_Engine_R50!V63</f>
        <v>4.78103778868915</v>
      </c>
      <c r="AI24" s="170" t="n">
        <f aca="false">_Engine_R50!V64</f>
        <v>4.93659839414892</v>
      </c>
      <c r="AJ24" s="170" t="n">
        <f aca="false">_Engine_R50!V65</f>
        <v>5.09276857154516</v>
      </c>
      <c r="AK24" s="170" t="n">
        <f aca="false">_Engine_R50!V66</f>
        <v>5.23657807384983</v>
      </c>
      <c r="AL24" s="46" t="n">
        <f aca="false">_Engine_R50!V67</f>
        <v>5.38098267191004</v>
      </c>
      <c r="AM24" s="46" t="n">
        <f aca="false">_Engine_R50!V68</f>
        <v>5.35227156066294</v>
      </c>
      <c r="AN24" s="46" t="n">
        <f aca="false">_Engine_R50!V69</f>
        <v>5.32414143203292</v>
      </c>
      <c r="AO24" s="46" t="n">
        <f aca="false">_Engine_R50!V70</f>
        <v>5.28362239969616</v>
      </c>
      <c r="AP24" s="46" t="n">
        <f aca="false">_Engine_R50!V71</f>
        <v>5.2436705905272</v>
      </c>
      <c r="AQ24" s="46" t="n">
        <f aca="false">_Engine_R50!V72</f>
        <v>5.20427925457891</v>
      </c>
      <c r="AR24" s="46" t="n">
        <f aca="false">_Engine_R50!V73</f>
        <v>5.16544172692943</v>
      </c>
      <c r="AS24" s="46" t="n">
        <f aca="false">_Engine_R50!V74</f>
        <v>5.12715142658065</v>
      </c>
      <c r="AT24" s="46" t="n">
        <f aca="false">_Engine_R50!V75</f>
        <v>5.08940185537121</v>
      </c>
      <c r="AU24" s="46" t="n">
        <f aca="false">_Engine_R50!V76</f>
        <v>5.05218659690384</v>
      </c>
      <c r="AV24" s="46" t="n">
        <f aca="false">_Engine_R50!V77</f>
        <v>5.01549931548677</v>
      </c>
      <c r="AW24" s="46" t="n">
        <f aca="false">_Engine_R50!V78</f>
        <v>4.97933375508899</v>
      </c>
      <c r="AX24" s="170" t="n">
        <f aca="false">_Engine_R50!V79</f>
        <v>4.94368373830938</v>
      </c>
      <c r="AY24" s="170" t="n">
        <f aca="false">_Engine_R50!V80</f>
        <v>4.90854316535925</v>
      </c>
      <c r="AZ24" s="170" t="n">
        <f aca="false">_Engine_R50!V81</f>
        <v>4.87390601305833</v>
      </c>
      <c r="BA24" s="170" t="n">
        <f aca="false">_Engine_R50!V82</f>
        <v>4.83976633384391</v>
      </c>
      <c r="BB24" s="170" t="n">
        <f aca="false">_Engine_R50!V83</f>
        <v>4.80611825479302</v>
      </c>
      <c r="BC24" s="170" t="n">
        <f aca="false">_Engine_R50!V84</f>
        <v>4.77295597665744</v>
      </c>
      <c r="BD24" s="170" t="n">
        <f aca="false">_Engine_R50!V85</f>
        <v>4.7402737729114</v>
      </c>
      <c r="BE24" s="170" t="n">
        <f aca="false">_Engine_R50!V86</f>
        <v>4.69510302584878</v>
      </c>
      <c r="BF24" s="170" t="n">
        <f aca="false">_Engine_R50!V87</f>
        <v>4.65040111454454</v>
      </c>
      <c r="BG24" s="170" t="n">
        <f aca="false">_Engine_R50!V88</f>
        <v>4.60616252505056</v>
      </c>
      <c r="BH24" s="170" t="n">
        <f aca="false">_Engine_R50!V89</f>
        <v>4.5623818124553</v>
      </c>
      <c r="BI24" s="170" t="n">
        <f aca="false">_Engine_R50!V90</f>
        <v>4.51905359999238</v>
      </c>
      <c r="BJ24" s="46" t="n">
        <f aca="false">_Engine_R50!V91</f>
        <v>4.47617257816085</v>
      </c>
      <c r="BK24" s="46" t="n">
        <f aca="false">_Engine_R50!V92</f>
        <v>4.43373350385705</v>
      </c>
      <c r="BL24" s="46" t="n">
        <f aca="false">_Engine_R50!V93</f>
        <v>4.39173119951773</v>
      </c>
      <c r="BM24" s="46" t="n">
        <f aca="false">_Engine_R50!V94</f>
        <v>4.35016055227461</v>
      </c>
      <c r="BN24" s="46" t="n">
        <f aca="false">_Engine_R50!V95</f>
        <v>4.30901651311983</v>
      </c>
      <c r="BO24" s="46" t="n">
        <f aca="false">_Engine_R50!V96</f>
        <v>4.26829409608248</v>
      </c>
      <c r="BP24" s="46" t="n">
        <f aca="false">_Engine_R50!V97</f>
        <v>4.22798837741585</v>
      </c>
      <c r="BQ24" s="46" t="n">
        <f aca="false">_Engine_R50!V98</f>
        <v>4.18809449479541</v>
      </c>
      <c r="BR24" s="46" t="n">
        <f aca="false">_Engine_R50!V99</f>
        <v>4.14860764652723</v>
      </c>
      <c r="BS24" s="46" t="n">
        <f aca="false">_Engine_R50!V100</f>
        <v>4.10952309076682</v>
      </c>
      <c r="BT24" s="46" t="n">
        <f aca="false">_Engine_R50!V101</f>
        <v>4.07083614474821</v>
      </c>
      <c r="BU24" s="46" t="n">
        <f aca="false">_Engine_R50!V102</f>
        <v>4.0325421840231</v>
      </c>
      <c r="BV24" s="170" t="n">
        <f aca="false">_Engine_R50!V103</f>
        <v>3.99463664171001</v>
      </c>
      <c r="BW24" s="170" t="n">
        <f aca="false">_Engine_R50!V104</f>
        <v>3.95711500775327</v>
      </c>
      <c r="BX24" s="170" t="n">
        <f aca="false">_Engine_R50!V105</f>
        <v>3.91997282819167</v>
      </c>
      <c r="BY24" s="170" t="n">
        <f aca="false">_Engine_R50!V106</f>
        <v>3.88320570443678</v>
      </c>
      <c r="BZ24" s="170" t="n">
        <f aca="false">_Engine_R50!V107</f>
        <v>3.84680929256062</v>
      </c>
      <c r="CA24" s="170" t="n">
        <f aca="false">_Engine_R50!V108</f>
        <v>3.81077930259271</v>
      </c>
      <c r="CB24" s="170" t="n">
        <f aca="false">_Engine_R50!V109</f>
        <v>3.77511149782633</v>
      </c>
      <c r="CC24" s="170" t="n">
        <f aca="false">_Engine_R50!V110</f>
        <v>3.73980169413385</v>
      </c>
      <c r="CD24" s="170" t="n">
        <f aca="false">_Engine_R50!V111</f>
        <v>3.704845759291</v>
      </c>
      <c r="CE24" s="170" t="n">
        <f aca="false">_Engine_R50!V112</f>
        <v>3.67023961231005</v>
      </c>
      <c r="CF24" s="170" t="n">
        <f aca="false">_Engine_R50!V113</f>
        <v>3.63597922278161</v>
      </c>
      <c r="CG24" s="170" t="n">
        <f aca="false">_Engine_R50!V114</f>
        <v>3.60206061022514</v>
      </c>
      <c r="CH24" s="46" t="n">
        <f aca="false">_Engine_R50!V115</f>
        <v>3.5684798434479</v>
      </c>
      <c r="CI24" s="46" t="n">
        <f aca="false">_Engine_R50!V116</f>
        <v>3.53523303991235</v>
      </c>
      <c r="CJ24" s="46" t="n">
        <f aca="false">_Engine_R50!V117</f>
        <v>3.50231636511169</v>
      </c>
      <c r="CK24" s="46" t="n">
        <f aca="false">_Engine_R50!V118</f>
        <v>3.46972603195375</v>
      </c>
      <c r="CL24" s="46" t="n">
        <f aca="false">_Engine_R50!V119</f>
        <v>3.43745830015277</v>
      </c>
      <c r="CM24" s="46" t="n">
        <f aca="false">_Engine_R50!V120</f>
        <v>3.40550947562923</v>
      </c>
      <c r="CN24" s="46" t="n">
        <f aca="false">_Engine_R50!V121</f>
        <v>3.37387590991747</v>
      </c>
      <c r="CO24" s="46" t="n">
        <f aca="false">_Engine_R50!V122</f>
        <v>3.34255399958113</v>
      </c>
      <c r="CP24" s="46" t="n">
        <f aca="false">_Engine_R50!V123</f>
        <v>3.31154018563611</v>
      </c>
      <c r="CQ24" s="46" t="n">
        <f aca="false">_Engine_R50!V124</f>
        <v>3.28083095298118</v>
      </c>
      <c r="CR24" s="46" t="n">
        <f aca="false">_Engine_R50!V125</f>
        <v>3.25042282983595</v>
      </c>
      <c r="CS24" s="46" t="n">
        <f aca="false">_Engine_R50!V126</f>
        <v>3.22031238718625</v>
      </c>
      <c r="CT24" s="170" t="n">
        <f aca="false">_Engine_R50!V127</f>
        <v>3.19049623823669</v>
      </c>
      <c r="CU24" s="170" t="n">
        <f aca="false">_Engine_R50!V128</f>
        <v>3.16097103787039</v>
      </c>
      <c r="CV24" s="170" t="n">
        <f aca="false">_Engine_R50!V129</f>
        <v>3.1317334821158</v>
      </c>
      <c r="CW24" s="170" t="n">
        <f aca="false">_Engine_R50!V130</f>
        <v>3.10278030762041</v>
      </c>
      <c r="CX24" s="170" t="n">
        <f aca="false">_Engine_R50!V131</f>
        <v>3.07410829113142</v>
      </c>
      <c r="CY24" s="170" t="n">
        <f aca="false">_Engine_R50!V132</f>
        <v>3.04571424898305</v>
      </c>
      <c r="CZ24" s="170" t="n">
        <f aca="false">_Engine_R50!V133</f>
        <v>3.01759503659073</v>
      </c>
      <c r="DA24" s="170" t="n">
        <f aca="false">_Engine_R50!V134</f>
        <v>2.9897475479517</v>
      </c>
      <c r="DB24" s="170" t="n">
        <f aca="false">_Engine_R50!V135</f>
        <v>2.96216871515225</v>
      </c>
      <c r="DC24" s="170" t="n">
        <f aca="false">_Engine_R50!V136</f>
        <v>2.93485550788131</v>
      </c>
      <c r="DD24" s="170" t="n">
        <f aca="false">_Engine_R50!V137</f>
        <v>2.90780493295047</v>
      </c>
      <c r="DE24" s="170" t="n">
        <f aca="false">_Engine_R50!V138</f>
        <v>2.88101403382015</v>
      </c>
      <c r="DF24" s="46" t="n">
        <f aca="false">_Engine_R50!V139</f>
        <v>2.85447989013202</v>
      </c>
      <c r="DG24" s="46" t="n">
        <f aca="false">_Engine_R50!V140</f>
        <v>2.82819961724751</v>
      </c>
      <c r="DH24" s="46" t="n">
        <f aca="false">_Engine_R50!V141</f>
        <v>2.80217036579232</v>
      </c>
      <c r="DI24" s="46" t="n">
        <f aca="false">_Engine_R50!V142</f>
        <v>2.77638932120682</v>
      </c>
      <c r="DJ24" s="46" t="n">
        <f aca="false">_Engine_R50!V143</f>
        <v>2.7508537033024</v>
      </c>
      <c r="DK24" s="46" t="n">
        <f aca="false">_Engine_R50!V144</f>
        <v>2.72556076582355</v>
      </c>
      <c r="DL24" s="46" t="n">
        <f aca="false">_Engine_R50!V145</f>
        <v>2.7005077960156</v>
      </c>
      <c r="DM24" s="46" t="n">
        <f aca="false">_Engine_R50!V146</f>
        <v>2.67569211419818</v>
      </c>
      <c r="DN24" s="46" t="n">
        <f aca="false">_Engine_R50!V147</f>
        <v>2.65111107334415</v>
      </c>
      <c r="DO24" s="46" t="n">
        <f aca="false">_Engine_R50!V148</f>
        <v>2.62676205866407</v>
      </c>
      <c r="DP24" s="46" t="n">
        <f aca="false">_Engine_R50!V149</f>
        <v>2.60264248719604</v>
      </c>
      <c r="DQ24" s="46" t="n">
        <f aca="false">_Engine_R50!V150</f>
        <v>2.57874980740089</v>
      </c>
      <c r="DR24" s="170" t="n">
        <f aca="false">_Engine_R50!V151</f>
        <v>2.55508149876266</v>
      </c>
      <c r="DS24" s="170" t="n">
        <f aca="false">_Engine_R50!V152</f>
        <v>2.53163507139422</v>
      </c>
      <c r="DT24" s="170" t="n">
        <f aca="false">_Engine_R50!V153</f>
        <v>2.50840806564808</v>
      </c>
      <c r="DU24" s="170" t="n">
        <f aca="false">_Engine_R50!V154</f>
        <v>2.48539805173224</v>
      </c>
      <c r="DV24" s="170" t="n">
        <f aca="false">_Engine_R50!V155</f>
        <v>2.462602629331</v>
      </c>
      <c r="DW24" s="170" t="n">
        <f aca="false">_Engine_R50!V156</f>
        <v>2.44001942723076</v>
      </c>
      <c r="DX24" s="170" t="n">
        <f aca="false">_Engine_R50!V157</f>
        <v>2.41764610295064</v>
      </c>
      <c r="DY24" s="170" t="n">
        <f aca="false">_Engine_R50!V158</f>
        <v>2.39548034237791</v>
      </c>
      <c r="DZ24" s="170" t="n">
        <f aca="false">_Engine_R50!V159</f>
        <v>2.37351985940817</v>
      </c>
      <c r="EA24" s="170" t="n">
        <f aca="false">_Engine_R50!V160</f>
        <v>2.35176239559017</v>
      </c>
      <c r="EB24" s="170" t="n">
        <f aca="false">_Engine_R50!V161</f>
        <v>2.33020571977531</v>
      </c>
      <c r="EC24" s="170" t="n">
        <f aca="false">_Engine_R50!V162</f>
        <v>2.30884762777161</v>
      </c>
      <c r="ED24" s="46" t="n">
        <f aca="false">_Engine_R50!V163</f>
        <v>2.28768594200221</v>
      </c>
      <c r="EE24" s="46" t="n">
        <f aca="false">_Engine_R50!V164</f>
        <v>2.26671851116835</v>
      </c>
      <c r="EF24" s="46" t="n">
        <f aca="false">_Engine_R50!V165</f>
        <v>2.24594320991662</v>
      </c>
      <c r="EG24" s="46" t="n">
        <f aca="false">_Engine_R50!V166</f>
        <v>2.22535793851063</v>
      </c>
      <c r="EH24" s="46" t="n">
        <f aca="false">_Engine_R50!V167</f>
        <v>2.20496062250687</v>
      </c>
      <c r="EI24" s="46" t="n">
        <f aca="false">_Engine_R50!V168</f>
        <v>2.18474921243482</v>
      </c>
      <c r="EJ24" s="46" t="n">
        <f aca="false">_Engine_R50!V169</f>
        <v>2.16472168348117</v>
      </c>
      <c r="EK24" s="46" t="n">
        <f aca="false">_Engine_R50!V170</f>
        <v>2.14487603517818</v>
      </c>
      <c r="EL24" s="46" t="n">
        <f aca="false">_Engine_R50!V171</f>
        <v>2.12521029109602</v>
      </c>
      <c r="EM24" s="46" t="n">
        <f aca="false">_Engine_R50!V172</f>
        <v>2.10572249853918</v>
      </c>
      <c r="EN24" s="46" t="n">
        <f aca="false">_Engine_R50!V173</f>
        <v>2.08641072824671</v>
      </c>
      <c r="EO24" s="46" t="n">
        <f aca="false">_Engine_R50!V174</f>
        <v>2.06727307409647</v>
      </c>
      <c r="EP24" s="170" t="n">
        <f aca="false">_Engine_R50!V175</f>
        <v>2.04830765281307</v>
      </c>
      <c r="EQ24" s="170" t="n">
        <f aca="false">_Engine_R50!V176</f>
        <v>2.02951260367972</v>
      </c>
      <c r="ER24" s="170" t="n">
        <f aca="false">_Engine_R50!V177</f>
        <v>2.01088608825373</v>
      </c>
      <c r="ES24" s="170" t="n">
        <f aca="false">_Engine_R50!V178</f>
        <v>1.99242629008575</v>
      </c>
      <c r="ET24" s="170" t="n">
        <f aca="false">_Engine_R50!V179</f>
        <v>1.97413141444258</v>
      </c>
      <c r="EU24" s="170" t="n">
        <f aca="false">_Engine_R50!V180</f>
        <v>1.95599968803361</v>
      </c>
      <c r="EV24" s="170" t="n">
        <f aca="false">_Engine_R50!V181</f>
        <v>1.93802935874082</v>
      </c>
      <c r="EW24" s="170" t="n">
        <f aca="false">_Engine_R50!V182</f>
        <v>1.92021869535223</v>
      </c>
      <c r="EX24" s="170" t="n">
        <f aca="false">_Engine_R50!V183</f>
        <v>1.90256598729879</v>
      </c>
      <c r="EY24" s="170" t="n">
        <f aca="false">_Engine_R50!V184</f>
        <v>1.88506954439475</v>
      </c>
      <c r="EZ24" s="170" t="n">
        <f aca="false">_Engine_R50!V185</f>
        <v>1.86772769658127</v>
      </c>
      <c r="FA24" s="170" t="n">
        <f aca="false">_Engine_R50!V186</f>
        <v>1.85053879367348</v>
      </c>
      <c r="FB24" s="46" t="n">
        <f aca="false">_Engine_R50!V187</f>
        <v>1.83350120511067</v>
      </c>
      <c r="FC24" s="46" t="n">
        <f aca="false">_Engine_R50!V188</f>
        <v>1.81661331970981</v>
      </c>
      <c r="FD24" s="46" t="n">
        <f aca="false">_Engine_R50!V189</f>
        <v>1.79987354542222</v>
      </c>
      <c r="FE24" s="46" t="n">
        <f aca="false">_Engine_R50!V190</f>
        <v>1.78328030909338</v>
      </c>
      <c r="FF24" s="46" t="n">
        <f aca="false">_Engine_R50!V191</f>
        <v>1.76683205622583</v>
      </c>
      <c r="FG24" s="46" t="n">
        <f aca="false">_Engine_R50!V192</f>
        <v>1.75052725074518</v>
      </c>
      <c r="FH24" s="46" t="n">
        <f aca="false">_Engine_R50!V193</f>
        <v>1.73436437476906</v>
      </c>
      <c r="FI24" s="46" t="n">
        <f aca="false">_Engine_R50!V194</f>
        <v>1.71834192837914</v>
      </c>
      <c r="FJ24" s="46" t="n">
        <f aca="false">_Engine_R50!V195</f>
        <v>1.70245842939603</v>
      </c>
      <c r="FK24" s="46" t="n">
        <f aca="false">_Engine_R50!V196</f>
        <v>1.68671241315713</v>
      </c>
      <c r="FL24" s="46" t="n">
        <f aca="false">_Engine_R50!V197</f>
        <v>1.67110243229726</v>
      </c>
      <c r="FM24" s="46" t="n">
        <f aca="false">_Engine_R50!V198</f>
        <v>1.65562705653224</v>
      </c>
      <c r="FN24" s="170" t="n">
        <f aca="false">_Engine_R50!V199</f>
        <v>1.6402848724452</v>
      </c>
      <c r="FO24" s="170" t="n">
        <f aca="false">_Engine_R50!V200</f>
        <v>1.62507448327557</v>
      </c>
      <c r="FP24" s="170" t="n">
        <f aca="false">_Engine_R50!V201</f>
        <v>1.60999450871096</v>
      </c>
      <c r="FQ24" s="170" t="n">
        <f aca="false">_Engine_R50!V202</f>
        <v>1.59504358468156</v>
      </c>
      <c r="FR24" s="170" t="n">
        <f aca="false">_Engine_R50!V203</f>
        <v>1.58022036315725</v>
      </c>
      <c r="FS24" s="170" t="n">
        <f aca="false">_Engine_R50!V204</f>
        <v>1.56552351194739</v>
      </c>
      <c r="FT24" s="170" t="n">
        <f aca="false">_Engine_R50!V205</f>
        <v>1.55095171450304</v>
      </c>
      <c r="FU24" s="170" t="n">
        <f aca="false">_Engine_R50!V206</f>
        <v>1.53650366972188</v>
      </c>
      <c r="FV24" s="170" t="n">
        <f aca="false">_Engine_R50!V207</f>
        <v>1.52217809175551</v>
      </c>
      <c r="FW24" s="170" t="n">
        <f aca="false">_Engine_R50!V208</f>
        <v>1.50797370981934</v>
      </c>
      <c r="FX24" s="170" t="n">
        <f aca="false">_Engine_R50!V209</f>
        <v>1.49388926800485</v>
      </c>
      <c r="FY24" s="170" t="n">
        <f aca="false">_Engine_R50!V210</f>
        <v>1.47992352509429</v>
      </c>
      <c r="FZ24" s="1"/>
    </row>
    <row r="25" customFormat="false" ht="15" hidden="false" customHeight="true" outlineLevel="0" collapsed="false">
      <c r="A25" s="171" t="s">
        <v>243</v>
      </c>
      <c r="B25" s="172" t="n">
        <f aca="false">_Engine_R50!W31</f>
        <v>0</v>
      </c>
      <c r="C25" s="172" t="n">
        <f aca="false">_Engine_R50!W32</f>
        <v>0</v>
      </c>
      <c r="D25" s="172" t="n">
        <f aca="false">_Engine_R50!W33</f>
        <v>0</v>
      </c>
      <c r="E25" s="172" t="n">
        <f aca="false">_Engine_R50!W34</f>
        <v>2.45</v>
      </c>
      <c r="F25" s="172" t="n">
        <f aca="false">_Engine_R50!W35</f>
        <v>0</v>
      </c>
      <c r="G25" s="172" t="n">
        <f aca="false">_Engine_R50!W36</f>
        <v>0</v>
      </c>
      <c r="H25" s="172" t="n">
        <f aca="false">_Engine_R50!W37</f>
        <v>0</v>
      </c>
      <c r="I25" s="172" t="n">
        <f aca="false">_Engine_R50!W38</f>
        <v>2.45</v>
      </c>
      <c r="J25" s="172" t="n">
        <f aca="false">_Engine_R50!W39</f>
        <v>0</v>
      </c>
      <c r="K25" s="172" t="n">
        <f aca="false">_Engine_R50!W40</f>
        <v>0</v>
      </c>
      <c r="L25" s="172" t="n">
        <f aca="false">_Engine_R50!W41</f>
        <v>0</v>
      </c>
      <c r="M25" s="172" t="n">
        <f aca="false">_Engine_R50!W42</f>
        <v>2.45</v>
      </c>
      <c r="N25" s="173" t="n">
        <f aca="false">_Engine_R50!W43</f>
        <v>0</v>
      </c>
      <c r="O25" s="173" t="n">
        <f aca="false">_Engine_R50!W44</f>
        <v>0</v>
      </c>
      <c r="P25" s="173" t="n">
        <f aca="false">_Engine_R50!W45</f>
        <v>0</v>
      </c>
      <c r="Q25" s="173" t="n">
        <f aca="false">_Engine_R50!W46</f>
        <v>2.45</v>
      </c>
      <c r="R25" s="173" t="n">
        <f aca="false">_Engine_R50!W47</f>
        <v>0</v>
      </c>
      <c r="S25" s="173" t="n">
        <f aca="false">_Engine_R50!W48</f>
        <v>0</v>
      </c>
      <c r="T25" s="173" t="n">
        <f aca="false">_Engine_R50!W49</f>
        <v>0</v>
      </c>
      <c r="U25" s="173" t="n">
        <f aca="false">_Engine_R50!W50</f>
        <v>0</v>
      </c>
      <c r="V25" s="173" t="n">
        <f aca="false">_Engine_R50!W51</f>
        <v>0</v>
      </c>
      <c r="W25" s="173" t="n">
        <f aca="false">_Engine_R50!W52</f>
        <v>0</v>
      </c>
      <c r="X25" s="173" t="n">
        <f aca="false">_Engine_R50!W53</f>
        <v>0</v>
      </c>
      <c r="Y25" s="173" t="n">
        <f aca="false">_Engine_R50!W54</f>
        <v>0</v>
      </c>
      <c r="Z25" s="172" t="n">
        <f aca="false">_Engine_R50!W55</f>
        <v>0</v>
      </c>
      <c r="AA25" s="172" t="n">
        <f aca="false">_Engine_R50!W56</f>
        <v>0</v>
      </c>
      <c r="AB25" s="172" t="n">
        <f aca="false">_Engine_R50!W57</f>
        <v>0</v>
      </c>
      <c r="AC25" s="172" t="n">
        <f aca="false">_Engine_R50!W58</f>
        <v>0</v>
      </c>
      <c r="AD25" s="172" t="n">
        <f aca="false">_Engine_R50!W59</f>
        <v>0</v>
      </c>
      <c r="AE25" s="172" t="n">
        <f aca="false">_Engine_R50!W60</f>
        <v>0</v>
      </c>
      <c r="AF25" s="172" t="n">
        <f aca="false">_Engine_R50!W61</f>
        <v>0</v>
      </c>
      <c r="AG25" s="172" t="n">
        <f aca="false">_Engine_R50!W62</f>
        <v>2.45</v>
      </c>
      <c r="AH25" s="172" t="n">
        <f aca="false">_Engine_R50!W63</f>
        <v>0</v>
      </c>
      <c r="AI25" s="172" t="n">
        <f aca="false">_Engine_R50!W64</f>
        <v>0</v>
      </c>
      <c r="AJ25" s="172" t="n">
        <f aca="false">_Engine_R50!W65</f>
        <v>0</v>
      </c>
      <c r="AK25" s="172" t="n">
        <f aca="false">_Engine_R50!W66</f>
        <v>0</v>
      </c>
      <c r="AL25" s="173" t="n">
        <f aca="false">_Engine_R50!W67</f>
        <v>0</v>
      </c>
      <c r="AM25" s="173" t="n">
        <f aca="false">_Engine_R50!W68</f>
        <v>0</v>
      </c>
      <c r="AN25" s="173" t="n">
        <f aca="false">_Engine_R50!W69</f>
        <v>0</v>
      </c>
      <c r="AO25" s="173" t="n">
        <f aca="false">_Engine_R50!W70</f>
        <v>0</v>
      </c>
      <c r="AP25" s="173" t="n">
        <f aca="false">_Engine_R50!W71</f>
        <v>0</v>
      </c>
      <c r="AQ25" s="173" t="n">
        <f aca="false">_Engine_R50!W72</f>
        <v>0</v>
      </c>
      <c r="AR25" s="173" t="n">
        <f aca="false">_Engine_R50!W73</f>
        <v>0</v>
      </c>
      <c r="AS25" s="173" t="n">
        <f aca="false">_Engine_R50!W74</f>
        <v>0</v>
      </c>
      <c r="AT25" s="173" t="n">
        <f aca="false">_Engine_R50!W75</f>
        <v>0</v>
      </c>
      <c r="AU25" s="173" t="n">
        <f aca="false">_Engine_R50!W76</f>
        <v>0</v>
      </c>
      <c r="AV25" s="173" t="n">
        <f aca="false">_Engine_R50!W77</f>
        <v>0</v>
      </c>
      <c r="AW25" s="173" t="n">
        <f aca="false">_Engine_R50!W78</f>
        <v>0</v>
      </c>
      <c r="AX25" s="172" t="n">
        <f aca="false">_Engine_R50!W79</f>
        <v>0</v>
      </c>
      <c r="AY25" s="172" t="n">
        <f aca="false">_Engine_R50!W80</f>
        <v>0</v>
      </c>
      <c r="AZ25" s="172" t="n">
        <f aca="false">_Engine_R50!W81</f>
        <v>0</v>
      </c>
      <c r="BA25" s="172" t="n">
        <f aca="false">_Engine_R50!W82</f>
        <v>0</v>
      </c>
      <c r="BB25" s="172" t="n">
        <f aca="false">_Engine_R50!W83</f>
        <v>0</v>
      </c>
      <c r="BC25" s="172" t="n">
        <f aca="false">_Engine_R50!W84</f>
        <v>0</v>
      </c>
      <c r="BD25" s="172" t="n">
        <f aca="false">_Engine_R50!W85</f>
        <v>0</v>
      </c>
      <c r="BE25" s="172" t="n">
        <f aca="false">_Engine_R50!W86</f>
        <v>0</v>
      </c>
      <c r="BF25" s="172" t="n">
        <f aca="false">_Engine_R50!W87</f>
        <v>0</v>
      </c>
      <c r="BG25" s="172" t="n">
        <f aca="false">_Engine_R50!W88</f>
        <v>0</v>
      </c>
      <c r="BH25" s="172" t="n">
        <f aca="false">_Engine_R50!W89</f>
        <v>0</v>
      </c>
      <c r="BI25" s="172" t="n">
        <f aca="false">_Engine_R50!W90</f>
        <v>0</v>
      </c>
      <c r="BJ25" s="173" t="n">
        <f aca="false">_Engine_R50!W91</f>
        <v>0</v>
      </c>
      <c r="BK25" s="173" t="n">
        <f aca="false">_Engine_R50!W92</f>
        <v>0</v>
      </c>
      <c r="BL25" s="173" t="n">
        <f aca="false">_Engine_R50!W93</f>
        <v>0</v>
      </c>
      <c r="BM25" s="173" t="n">
        <f aca="false">_Engine_R50!W94</f>
        <v>0</v>
      </c>
      <c r="BN25" s="173" t="n">
        <f aca="false">_Engine_R50!W95</f>
        <v>0</v>
      </c>
      <c r="BO25" s="173" t="n">
        <f aca="false">_Engine_R50!W96</f>
        <v>0</v>
      </c>
      <c r="BP25" s="173" t="n">
        <f aca="false">_Engine_R50!W97</f>
        <v>0</v>
      </c>
      <c r="BQ25" s="173" t="n">
        <f aca="false">_Engine_R50!W98</f>
        <v>0</v>
      </c>
      <c r="BR25" s="173" t="n">
        <f aca="false">_Engine_R50!W99</f>
        <v>0</v>
      </c>
      <c r="BS25" s="173" t="n">
        <f aca="false">_Engine_R50!W100</f>
        <v>0</v>
      </c>
      <c r="BT25" s="173" t="n">
        <f aca="false">_Engine_R50!W101</f>
        <v>0</v>
      </c>
      <c r="BU25" s="173" t="n">
        <f aca="false">_Engine_R50!W102</f>
        <v>0</v>
      </c>
      <c r="BV25" s="172" t="n">
        <f aca="false">_Engine_R50!W103</f>
        <v>0</v>
      </c>
      <c r="BW25" s="172" t="n">
        <f aca="false">_Engine_R50!W104</f>
        <v>0</v>
      </c>
      <c r="BX25" s="172" t="n">
        <f aca="false">_Engine_R50!W105</f>
        <v>0</v>
      </c>
      <c r="BY25" s="172" t="n">
        <f aca="false">_Engine_R50!W106</f>
        <v>0</v>
      </c>
      <c r="BZ25" s="172" t="n">
        <f aca="false">_Engine_R50!W107</f>
        <v>0</v>
      </c>
      <c r="CA25" s="172" t="n">
        <f aca="false">_Engine_R50!W108</f>
        <v>0</v>
      </c>
      <c r="CB25" s="172" t="n">
        <f aca="false">_Engine_R50!W109</f>
        <v>0</v>
      </c>
      <c r="CC25" s="172" t="n">
        <f aca="false">_Engine_R50!W110</f>
        <v>0</v>
      </c>
      <c r="CD25" s="172" t="n">
        <f aca="false">_Engine_R50!W111</f>
        <v>0</v>
      </c>
      <c r="CE25" s="172" t="n">
        <f aca="false">_Engine_R50!W112</f>
        <v>0</v>
      </c>
      <c r="CF25" s="172" t="n">
        <f aca="false">_Engine_R50!W113</f>
        <v>0</v>
      </c>
      <c r="CG25" s="172" t="n">
        <f aca="false">_Engine_R50!W114</f>
        <v>0</v>
      </c>
      <c r="CH25" s="173" t="n">
        <f aca="false">_Engine_R50!W115</f>
        <v>0</v>
      </c>
      <c r="CI25" s="173" t="n">
        <f aca="false">_Engine_R50!W116</f>
        <v>0</v>
      </c>
      <c r="CJ25" s="173" t="n">
        <f aca="false">_Engine_R50!W117</f>
        <v>0</v>
      </c>
      <c r="CK25" s="173" t="n">
        <f aca="false">_Engine_R50!W118</f>
        <v>0</v>
      </c>
      <c r="CL25" s="173" t="n">
        <f aca="false">_Engine_R50!W119</f>
        <v>0</v>
      </c>
      <c r="CM25" s="173" t="n">
        <f aca="false">_Engine_R50!W120</f>
        <v>0</v>
      </c>
      <c r="CN25" s="173" t="n">
        <f aca="false">_Engine_R50!W121</f>
        <v>0</v>
      </c>
      <c r="CO25" s="173" t="n">
        <f aca="false">_Engine_R50!W122</f>
        <v>0</v>
      </c>
      <c r="CP25" s="173" t="n">
        <f aca="false">_Engine_R50!W123</f>
        <v>0</v>
      </c>
      <c r="CQ25" s="173" t="n">
        <f aca="false">_Engine_R50!W124</f>
        <v>0</v>
      </c>
      <c r="CR25" s="173" t="n">
        <f aca="false">_Engine_R50!W125</f>
        <v>0</v>
      </c>
      <c r="CS25" s="173" t="n">
        <f aca="false">_Engine_R50!W126</f>
        <v>0</v>
      </c>
      <c r="CT25" s="172" t="n">
        <f aca="false">_Engine_R50!W127</f>
        <v>0</v>
      </c>
      <c r="CU25" s="172" t="n">
        <f aca="false">_Engine_R50!W128</f>
        <v>0</v>
      </c>
      <c r="CV25" s="172" t="n">
        <f aca="false">_Engine_R50!W129</f>
        <v>0</v>
      </c>
      <c r="CW25" s="172" t="n">
        <f aca="false">_Engine_R50!W130</f>
        <v>0</v>
      </c>
      <c r="CX25" s="172" t="n">
        <f aca="false">_Engine_R50!W131</f>
        <v>0</v>
      </c>
      <c r="CY25" s="172" t="n">
        <f aca="false">_Engine_R50!W132</f>
        <v>0</v>
      </c>
      <c r="CZ25" s="172" t="n">
        <f aca="false">_Engine_R50!W133</f>
        <v>0</v>
      </c>
      <c r="DA25" s="172" t="n">
        <f aca="false">_Engine_R50!W134</f>
        <v>0</v>
      </c>
      <c r="DB25" s="172" t="n">
        <f aca="false">_Engine_R50!W135</f>
        <v>0</v>
      </c>
      <c r="DC25" s="172" t="n">
        <f aca="false">_Engine_R50!W136</f>
        <v>0</v>
      </c>
      <c r="DD25" s="172" t="n">
        <f aca="false">_Engine_R50!W137</f>
        <v>0</v>
      </c>
      <c r="DE25" s="172" t="n">
        <f aca="false">_Engine_R50!W138</f>
        <v>0</v>
      </c>
      <c r="DF25" s="173" t="n">
        <f aca="false">_Engine_R50!W139</f>
        <v>0</v>
      </c>
      <c r="DG25" s="173" t="n">
        <f aca="false">_Engine_R50!W140</f>
        <v>0</v>
      </c>
      <c r="DH25" s="173" t="n">
        <f aca="false">_Engine_R50!W141</f>
        <v>0</v>
      </c>
      <c r="DI25" s="173" t="n">
        <f aca="false">_Engine_R50!W142</f>
        <v>0</v>
      </c>
      <c r="DJ25" s="173" t="n">
        <f aca="false">_Engine_R50!W143</f>
        <v>0</v>
      </c>
      <c r="DK25" s="173" t="n">
        <f aca="false">_Engine_R50!W144</f>
        <v>0</v>
      </c>
      <c r="DL25" s="173" t="n">
        <f aca="false">_Engine_R50!W145</f>
        <v>0</v>
      </c>
      <c r="DM25" s="173" t="n">
        <f aca="false">_Engine_R50!W146</f>
        <v>0</v>
      </c>
      <c r="DN25" s="173" t="n">
        <f aca="false">_Engine_R50!W147</f>
        <v>0</v>
      </c>
      <c r="DO25" s="173" t="n">
        <f aca="false">_Engine_R50!W148</f>
        <v>0</v>
      </c>
      <c r="DP25" s="173" t="n">
        <f aca="false">_Engine_R50!W149</f>
        <v>0</v>
      </c>
      <c r="DQ25" s="173" t="n">
        <f aca="false">_Engine_R50!W150</f>
        <v>0</v>
      </c>
      <c r="DR25" s="172" t="n">
        <f aca="false">_Engine_R50!W151</f>
        <v>0</v>
      </c>
      <c r="DS25" s="172" t="n">
        <f aca="false">_Engine_R50!W152</f>
        <v>0</v>
      </c>
      <c r="DT25" s="172" t="n">
        <f aca="false">_Engine_R50!W153</f>
        <v>0</v>
      </c>
      <c r="DU25" s="172" t="n">
        <f aca="false">_Engine_R50!W154</f>
        <v>0</v>
      </c>
      <c r="DV25" s="172" t="n">
        <f aca="false">_Engine_R50!W155</f>
        <v>0</v>
      </c>
      <c r="DW25" s="172" t="n">
        <f aca="false">_Engine_R50!W156</f>
        <v>0</v>
      </c>
      <c r="DX25" s="172" t="n">
        <f aca="false">_Engine_R50!W157</f>
        <v>0</v>
      </c>
      <c r="DY25" s="172" t="n">
        <f aca="false">_Engine_R50!W158</f>
        <v>0</v>
      </c>
      <c r="DZ25" s="172" t="n">
        <f aca="false">_Engine_R50!W159</f>
        <v>0</v>
      </c>
      <c r="EA25" s="172" t="n">
        <f aca="false">_Engine_R50!W160</f>
        <v>0</v>
      </c>
      <c r="EB25" s="172" t="n">
        <f aca="false">_Engine_R50!W161</f>
        <v>0</v>
      </c>
      <c r="EC25" s="172" t="n">
        <f aca="false">_Engine_R50!W162</f>
        <v>0</v>
      </c>
      <c r="ED25" s="173" t="n">
        <f aca="false">_Engine_R50!W163</f>
        <v>0</v>
      </c>
      <c r="EE25" s="173" t="n">
        <f aca="false">_Engine_R50!W164</f>
        <v>0</v>
      </c>
      <c r="EF25" s="173" t="n">
        <f aca="false">_Engine_R50!W165</f>
        <v>0</v>
      </c>
      <c r="EG25" s="173" t="n">
        <f aca="false">_Engine_R50!W166</f>
        <v>0</v>
      </c>
      <c r="EH25" s="173" t="n">
        <f aca="false">_Engine_R50!W167</f>
        <v>0</v>
      </c>
      <c r="EI25" s="173" t="n">
        <f aca="false">_Engine_R50!W168</f>
        <v>0</v>
      </c>
      <c r="EJ25" s="173" t="n">
        <f aca="false">_Engine_R50!W169</f>
        <v>0</v>
      </c>
      <c r="EK25" s="173" t="n">
        <f aca="false">_Engine_R50!W170</f>
        <v>0</v>
      </c>
      <c r="EL25" s="173" t="n">
        <f aca="false">_Engine_R50!W171</f>
        <v>0</v>
      </c>
      <c r="EM25" s="173" t="n">
        <f aca="false">_Engine_R50!W172</f>
        <v>0</v>
      </c>
      <c r="EN25" s="173" t="n">
        <f aca="false">_Engine_R50!W173</f>
        <v>0</v>
      </c>
      <c r="EO25" s="173" t="n">
        <f aca="false">_Engine_R50!W174</f>
        <v>0</v>
      </c>
      <c r="EP25" s="172" t="n">
        <f aca="false">_Engine_R50!W175</f>
        <v>0</v>
      </c>
      <c r="EQ25" s="172" t="n">
        <f aca="false">_Engine_R50!W176</f>
        <v>0</v>
      </c>
      <c r="ER25" s="172" t="n">
        <f aca="false">_Engine_R50!W177</f>
        <v>0</v>
      </c>
      <c r="ES25" s="172" t="n">
        <f aca="false">_Engine_R50!W178</f>
        <v>0</v>
      </c>
      <c r="ET25" s="172" t="n">
        <f aca="false">_Engine_R50!W179</f>
        <v>0</v>
      </c>
      <c r="EU25" s="172" t="n">
        <f aca="false">_Engine_R50!W180</f>
        <v>0</v>
      </c>
      <c r="EV25" s="172" t="n">
        <f aca="false">_Engine_R50!W181</f>
        <v>0</v>
      </c>
      <c r="EW25" s="172" t="n">
        <f aca="false">_Engine_R50!W182</f>
        <v>0</v>
      </c>
      <c r="EX25" s="172" t="n">
        <f aca="false">_Engine_R50!W183</f>
        <v>0</v>
      </c>
      <c r="EY25" s="172" t="n">
        <f aca="false">_Engine_R50!W184</f>
        <v>0</v>
      </c>
      <c r="EZ25" s="172" t="n">
        <f aca="false">_Engine_R50!W185</f>
        <v>0</v>
      </c>
      <c r="FA25" s="172" t="n">
        <f aca="false">_Engine_R50!W186</f>
        <v>0</v>
      </c>
      <c r="FB25" s="173" t="n">
        <f aca="false">_Engine_R50!W187</f>
        <v>0</v>
      </c>
      <c r="FC25" s="173" t="n">
        <f aca="false">_Engine_R50!W188</f>
        <v>0</v>
      </c>
      <c r="FD25" s="173" t="n">
        <f aca="false">_Engine_R50!W189</f>
        <v>0</v>
      </c>
      <c r="FE25" s="173" t="n">
        <f aca="false">_Engine_R50!W190</f>
        <v>0</v>
      </c>
      <c r="FF25" s="173" t="n">
        <f aca="false">_Engine_R50!W191</f>
        <v>0</v>
      </c>
      <c r="FG25" s="173" t="n">
        <f aca="false">_Engine_R50!W192</f>
        <v>0</v>
      </c>
      <c r="FH25" s="173" t="n">
        <f aca="false">_Engine_R50!W193</f>
        <v>0</v>
      </c>
      <c r="FI25" s="173" t="n">
        <f aca="false">_Engine_R50!W194</f>
        <v>0</v>
      </c>
      <c r="FJ25" s="173" t="n">
        <f aca="false">_Engine_R50!W195</f>
        <v>0</v>
      </c>
      <c r="FK25" s="173" t="n">
        <f aca="false">_Engine_R50!W196</f>
        <v>0</v>
      </c>
      <c r="FL25" s="173" t="n">
        <f aca="false">_Engine_R50!W197</f>
        <v>0</v>
      </c>
      <c r="FM25" s="173" t="n">
        <f aca="false">_Engine_R50!W198</f>
        <v>0</v>
      </c>
      <c r="FN25" s="172" t="n">
        <f aca="false">_Engine_R50!W199</f>
        <v>0</v>
      </c>
      <c r="FO25" s="172" t="n">
        <f aca="false">_Engine_R50!W200</f>
        <v>0</v>
      </c>
      <c r="FP25" s="172" t="n">
        <f aca="false">_Engine_R50!W201</f>
        <v>0</v>
      </c>
      <c r="FQ25" s="172" t="n">
        <f aca="false">_Engine_R50!W202</f>
        <v>0</v>
      </c>
      <c r="FR25" s="172" t="n">
        <f aca="false">_Engine_R50!W203</f>
        <v>0</v>
      </c>
      <c r="FS25" s="172" t="n">
        <f aca="false">_Engine_R50!W204</f>
        <v>0</v>
      </c>
      <c r="FT25" s="172" t="n">
        <f aca="false">_Engine_R50!W205</f>
        <v>0</v>
      </c>
      <c r="FU25" s="172" t="n">
        <f aca="false">_Engine_R50!W206</f>
        <v>0</v>
      </c>
      <c r="FV25" s="172" t="n">
        <f aca="false">_Engine_R50!W207</f>
        <v>0</v>
      </c>
      <c r="FW25" s="172" t="n">
        <f aca="false">_Engine_R50!W208</f>
        <v>0</v>
      </c>
      <c r="FX25" s="172" t="n">
        <f aca="false">_Engine_R50!W209</f>
        <v>0</v>
      </c>
      <c r="FY25" s="172" t="n">
        <f aca="false">_Engine_R50!W210</f>
        <v>0</v>
      </c>
      <c r="FZ25" s="1"/>
    </row>
    <row r="26" customFormat="false" ht="15" hidden="false" customHeight="true" outlineLevel="0" collapsed="false">
      <c r="A26" s="18"/>
      <c r="B26" s="177" t="n">
        <f aca="false">B24-B25</f>
        <v>-0.288105825</v>
      </c>
      <c r="C26" s="177" t="n">
        <f aca="false">C24-C25</f>
        <v>-0.288105825</v>
      </c>
      <c r="D26" s="177" t="n">
        <f aca="false">D24-D25</f>
        <v>-0.288105825</v>
      </c>
      <c r="E26" s="177" t="n">
        <f aca="false">E24-E25</f>
        <v>-2.25893915833333</v>
      </c>
      <c r="F26" s="177" t="n">
        <f aca="false">F24-F25</f>
        <v>0.370707504511931</v>
      </c>
      <c r="G26" s="177" t="n">
        <f aca="false">G24-G25</f>
        <v>0.550384109911314</v>
      </c>
      <c r="H26" s="177" t="n">
        <f aca="false">H24-H25</f>
        <v>0.730090530150277</v>
      </c>
      <c r="I26" s="177" t="n">
        <f aca="false">I24-I25</f>
        <v>-1.06100669527431</v>
      </c>
      <c r="J26" s="177" t="n">
        <f aca="false">J24-J25</f>
        <v>1.74103840564724</v>
      </c>
      <c r="K26" s="177" t="n">
        <f aca="false">K24-K25</f>
        <v>1.91953500542866</v>
      </c>
      <c r="L26" s="177" t="n">
        <f aca="false">L24-L25</f>
        <v>2.09818558281267</v>
      </c>
      <c r="M26" s="177" t="n">
        <f aca="false">M24-M25</f>
        <v>0.306155589651115</v>
      </c>
      <c r="N26" s="177" t="n">
        <f aca="false">N24-N25</f>
        <v>2.75469965839863</v>
      </c>
      <c r="O26" s="177" t="n">
        <f aca="false">O24-O25</f>
        <v>2.92492604159855</v>
      </c>
      <c r="P26" s="177" t="n">
        <f aca="false">P24-P25</f>
        <v>3.09559541845003</v>
      </c>
      <c r="Q26" s="177" t="n">
        <f aca="false">Q24-Q25</f>
        <v>1.29586932814616</v>
      </c>
      <c r="R26" s="177" t="n">
        <f aca="false">R24-R25</f>
        <v>4.08193637664568</v>
      </c>
      <c r="S26" s="177" t="n">
        <f aca="false">S24-S25</f>
        <v>4.24502534211325</v>
      </c>
      <c r="T26" s="177" t="n">
        <f aca="false">T24-T25</f>
        <v>4.40883098078384</v>
      </c>
      <c r="U26" s="177" t="n">
        <f aca="false">U24-U25</f>
        <v>4.57334445960766</v>
      </c>
      <c r="V26" s="177" t="n">
        <f aca="false">V24-V25</f>
        <v>4.73855705846166</v>
      </c>
      <c r="W26" s="177" t="n">
        <f aca="false">W24-W25</f>
        <v>4.73075646497328</v>
      </c>
      <c r="X26" s="177" t="n">
        <f aca="false">X24-X25</f>
        <v>4.72363788417852</v>
      </c>
      <c r="Y26" s="177" t="n">
        <f aca="false">Y24-Y25</f>
        <v>4.71719292597684</v>
      </c>
      <c r="Z26" s="177" t="n">
        <f aca="false">Z24-Z25</f>
        <v>4.70804029908651</v>
      </c>
      <c r="AA26" s="177" t="n">
        <f aca="false">AA24-AA25</f>
        <v>4.70291784298161</v>
      </c>
      <c r="AB26" s="177" t="n">
        <f aca="false">AB24-AB25</f>
        <v>4.69844447651408</v>
      </c>
      <c r="AC26" s="177" t="n">
        <f aca="false">AC24-AC25</f>
        <v>4.68164926692423</v>
      </c>
      <c r="AD26" s="177" t="n">
        <f aca="false">AD24-AD25</f>
        <v>4.66548730905453</v>
      </c>
      <c r="AE26" s="177" t="n">
        <f aca="false">AE24-AE25</f>
        <v>4.64995083513647</v>
      </c>
      <c r="AF26" s="177" t="n">
        <f aca="false">AF24-AF25</f>
        <v>4.63503217644684</v>
      </c>
      <c r="AG26" s="177" t="n">
        <f aca="false">AG24-AG25</f>
        <v>2.1760941323886</v>
      </c>
      <c r="AH26" s="177" t="n">
        <f aca="false">AH24-AH25</f>
        <v>4.78103778868915</v>
      </c>
      <c r="AI26" s="177" t="n">
        <f aca="false">AI24-AI25</f>
        <v>4.93659839414892</v>
      </c>
      <c r="AJ26" s="177" t="n">
        <f aca="false">AJ24-AJ25</f>
        <v>5.09276857154516</v>
      </c>
      <c r="AK26" s="177" t="n">
        <f aca="false">AK24-AK25</f>
        <v>5.23657807384983</v>
      </c>
      <c r="AL26" s="177" t="n">
        <f aca="false">AL24-AL25</f>
        <v>5.38098267191004</v>
      </c>
      <c r="AM26" s="177" t="n">
        <f aca="false">AM24-AM25</f>
        <v>5.35227156066294</v>
      </c>
      <c r="AN26" s="177" t="n">
        <f aca="false">AN24-AN25</f>
        <v>5.32414143203292</v>
      </c>
      <c r="AO26" s="177" t="n">
        <f aca="false">AO24-AO25</f>
        <v>5.28362239969616</v>
      </c>
      <c r="AP26" s="177" t="n">
        <f aca="false">AP24-AP25</f>
        <v>5.2436705905272</v>
      </c>
      <c r="AQ26" s="177" t="n">
        <f aca="false">AQ24-AQ25</f>
        <v>5.20427925457891</v>
      </c>
      <c r="AR26" s="177" t="n">
        <f aca="false">AR24-AR25</f>
        <v>5.16544172692943</v>
      </c>
      <c r="AS26" s="177" t="n">
        <f aca="false">AS24-AS25</f>
        <v>5.12715142658065</v>
      </c>
      <c r="AT26" s="177" t="n">
        <f aca="false">AT24-AT25</f>
        <v>5.08940185537121</v>
      </c>
      <c r="AU26" s="177" t="n">
        <f aca="false">AU24-AU25</f>
        <v>5.05218659690384</v>
      </c>
      <c r="AV26" s="177" t="n">
        <f aca="false">AV24-AV25</f>
        <v>5.01549931548677</v>
      </c>
      <c r="AW26" s="177" t="n">
        <f aca="false">AW24-AW25</f>
        <v>4.97933375508899</v>
      </c>
      <c r="AX26" s="177" t="n">
        <f aca="false">AX24-AX25</f>
        <v>4.94368373830938</v>
      </c>
      <c r="AY26" s="177" t="n">
        <f aca="false">AY24-AY25</f>
        <v>4.90854316535925</v>
      </c>
      <c r="AZ26" s="177" t="n">
        <f aca="false">AZ24-AZ25</f>
        <v>4.87390601305833</v>
      </c>
      <c r="BA26" s="177" t="n">
        <f aca="false">BA24-BA25</f>
        <v>4.83976633384391</v>
      </c>
      <c r="BB26" s="177" t="n">
        <f aca="false">BB24-BB25</f>
        <v>4.80611825479302</v>
      </c>
      <c r="BC26" s="177" t="n">
        <f aca="false">BC24-BC25</f>
        <v>4.77295597665744</v>
      </c>
      <c r="BD26" s="177" t="n">
        <f aca="false">BD24-BD25</f>
        <v>4.7402737729114</v>
      </c>
      <c r="BE26" s="177" t="n">
        <f aca="false">BE24-BE25</f>
        <v>4.69510302584878</v>
      </c>
      <c r="BF26" s="177" t="n">
        <f aca="false">BF24-BF25</f>
        <v>4.65040111454454</v>
      </c>
      <c r="BG26" s="177" t="n">
        <f aca="false">BG24-BG25</f>
        <v>4.60616252505056</v>
      </c>
      <c r="BH26" s="177" t="n">
        <f aca="false">BH24-BH25</f>
        <v>4.5623818124553</v>
      </c>
      <c r="BI26" s="177" t="n">
        <f aca="false">BI24-BI25</f>
        <v>4.51905359999238</v>
      </c>
      <c r="BJ26" s="177" t="n">
        <f aca="false">BJ24-BJ25</f>
        <v>4.47617257816085</v>
      </c>
      <c r="BK26" s="177" t="n">
        <f aca="false">BK24-BK25</f>
        <v>4.43373350385705</v>
      </c>
      <c r="BL26" s="177" t="n">
        <f aca="false">BL24-BL25</f>
        <v>4.39173119951773</v>
      </c>
      <c r="BM26" s="177" t="n">
        <f aca="false">BM24-BM25</f>
        <v>4.35016055227461</v>
      </c>
      <c r="BN26" s="177" t="n">
        <f aca="false">BN24-BN25</f>
        <v>4.30901651311983</v>
      </c>
      <c r="BO26" s="177" t="n">
        <f aca="false">BO24-BO25</f>
        <v>4.26829409608248</v>
      </c>
      <c r="BP26" s="177" t="n">
        <f aca="false">BP24-BP25</f>
        <v>4.22798837741585</v>
      </c>
      <c r="BQ26" s="177" t="n">
        <f aca="false">BQ24-BQ25</f>
        <v>4.18809449479541</v>
      </c>
      <c r="BR26" s="177" t="n">
        <f aca="false">BR24-BR25</f>
        <v>4.14860764652723</v>
      </c>
      <c r="BS26" s="177" t="n">
        <f aca="false">BS24-BS25</f>
        <v>4.10952309076682</v>
      </c>
      <c r="BT26" s="177" t="n">
        <f aca="false">BT24-BT25</f>
        <v>4.07083614474821</v>
      </c>
      <c r="BU26" s="177" t="n">
        <f aca="false">BU24-BU25</f>
        <v>4.0325421840231</v>
      </c>
      <c r="BV26" s="177" t="n">
        <f aca="false">BV24-BV25</f>
        <v>3.99463664171001</v>
      </c>
      <c r="BW26" s="177" t="n">
        <f aca="false">BW24-BW25</f>
        <v>3.95711500775327</v>
      </c>
      <c r="BX26" s="177" t="n">
        <f aca="false">BX24-BX25</f>
        <v>3.91997282819167</v>
      </c>
      <c r="BY26" s="177" t="n">
        <f aca="false">BY24-BY25</f>
        <v>3.88320570443678</v>
      </c>
      <c r="BZ26" s="177" t="n">
        <f aca="false">BZ24-BZ25</f>
        <v>3.84680929256062</v>
      </c>
      <c r="CA26" s="177" t="n">
        <f aca="false">CA24-CA25</f>
        <v>3.81077930259271</v>
      </c>
      <c r="CB26" s="177" t="n">
        <f aca="false">CB24-CB25</f>
        <v>3.77511149782633</v>
      </c>
      <c r="CC26" s="177" t="n">
        <f aca="false">CC24-CC25</f>
        <v>3.73980169413385</v>
      </c>
      <c r="CD26" s="177" t="n">
        <f aca="false">CD24-CD25</f>
        <v>3.704845759291</v>
      </c>
      <c r="CE26" s="177" t="n">
        <f aca="false">CE24-CE25</f>
        <v>3.67023961231005</v>
      </c>
      <c r="CF26" s="177" t="n">
        <f aca="false">CF24-CF25</f>
        <v>3.63597922278161</v>
      </c>
      <c r="CG26" s="177" t="n">
        <f aca="false">CG24-CG25</f>
        <v>3.60206061022514</v>
      </c>
      <c r="CH26" s="177" t="n">
        <f aca="false">CH24-CH25</f>
        <v>3.5684798434479</v>
      </c>
      <c r="CI26" s="177" t="n">
        <f aca="false">CI24-CI25</f>
        <v>3.53523303991235</v>
      </c>
      <c r="CJ26" s="177" t="n">
        <f aca="false">CJ24-CJ25</f>
        <v>3.50231636511169</v>
      </c>
      <c r="CK26" s="177" t="n">
        <f aca="false">CK24-CK25</f>
        <v>3.46972603195375</v>
      </c>
      <c r="CL26" s="177" t="n">
        <f aca="false">CL24-CL25</f>
        <v>3.43745830015277</v>
      </c>
      <c r="CM26" s="177" t="n">
        <f aca="false">CM24-CM25</f>
        <v>3.40550947562923</v>
      </c>
      <c r="CN26" s="177" t="n">
        <f aca="false">CN24-CN25</f>
        <v>3.37387590991747</v>
      </c>
      <c r="CO26" s="177" t="n">
        <f aca="false">CO24-CO25</f>
        <v>3.34255399958113</v>
      </c>
      <c r="CP26" s="177" t="n">
        <f aca="false">CP24-CP25</f>
        <v>3.31154018563611</v>
      </c>
      <c r="CQ26" s="177" t="n">
        <f aca="false">CQ24-CQ25</f>
        <v>3.28083095298118</v>
      </c>
      <c r="CR26" s="177" t="n">
        <f aca="false">CR24-CR25</f>
        <v>3.25042282983595</v>
      </c>
      <c r="CS26" s="177" t="n">
        <f aca="false">CS24-CS25</f>
        <v>3.22031238718625</v>
      </c>
      <c r="CT26" s="177" t="n">
        <f aca="false">CT24-CT25</f>
        <v>3.19049623823669</v>
      </c>
      <c r="CU26" s="177" t="n">
        <f aca="false">CU24-CU25</f>
        <v>3.16097103787039</v>
      </c>
      <c r="CV26" s="177" t="n">
        <f aca="false">CV24-CV25</f>
        <v>3.1317334821158</v>
      </c>
      <c r="CW26" s="177" t="n">
        <f aca="false">CW24-CW25</f>
        <v>3.10278030762041</v>
      </c>
      <c r="CX26" s="177" t="n">
        <f aca="false">CX24-CX25</f>
        <v>3.07410829113142</v>
      </c>
      <c r="CY26" s="177" t="n">
        <f aca="false">CY24-CY25</f>
        <v>3.04571424898305</v>
      </c>
      <c r="CZ26" s="177" t="n">
        <f aca="false">CZ24-CZ25</f>
        <v>3.01759503659073</v>
      </c>
      <c r="DA26" s="177" t="n">
        <f aca="false">DA24-DA25</f>
        <v>2.9897475479517</v>
      </c>
      <c r="DB26" s="177" t="n">
        <f aca="false">DB24-DB25</f>
        <v>2.96216871515225</v>
      </c>
      <c r="DC26" s="177" t="n">
        <f aca="false">DC24-DC25</f>
        <v>2.93485550788131</v>
      </c>
      <c r="DD26" s="177" t="n">
        <f aca="false">DD24-DD25</f>
        <v>2.90780493295047</v>
      </c>
      <c r="DE26" s="177" t="n">
        <f aca="false">DE24-DE25</f>
        <v>2.88101403382015</v>
      </c>
      <c r="DF26" s="177" t="n">
        <f aca="false">DF24-DF25</f>
        <v>2.85447989013202</v>
      </c>
      <c r="DG26" s="177" t="n">
        <f aca="false">DG24-DG25</f>
        <v>2.82819961724751</v>
      </c>
      <c r="DH26" s="177" t="n">
        <f aca="false">DH24-DH25</f>
        <v>2.80217036579232</v>
      </c>
      <c r="DI26" s="177" t="n">
        <f aca="false">DI24-DI25</f>
        <v>2.77638932120682</v>
      </c>
      <c r="DJ26" s="177" t="n">
        <f aca="false">DJ24-DJ25</f>
        <v>2.7508537033024</v>
      </c>
      <c r="DK26" s="177" t="n">
        <f aca="false">DK24-DK25</f>
        <v>2.72556076582355</v>
      </c>
      <c r="DL26" s="177" t="n">
        <f aca="false">DL24-DL25</f>
        <v>2.7005077960156</v>
      </c>
      <c r="DM26" s="177" t="n">
        <f aca="false">DM24-DM25</f>
        <v>2.67569211419818</v>
      </c>
      <c r="DN26" s="177" t="n">
        <f aca="false">DN24-DN25</f>
        <v>2.65111107334415</v>
      </c>
      <c r="DO26" s="177" t="n">
        <f aca="false">DO24-DO25</f>
        <v>2.62676205866407</v>
      </c>
      <c r="DP26" s="177" t="n">
        <f aca="false">DP24-DP25</f>
        <v>2.60264248719604</v>
      </c>
      <c r="DQ26" s="177" t="n">
        <f aca="false">DQ24-DQ25</f>
        <v>2.57874980740089</v>
      </c>
      <c r="DR26" s="177" t="n">
        <f aca="false">DR24-DR25</f>
        <v>2.55508149876266</v>
      </c>
      <c r="DS26" s="177" t="n">
        <f aca="false">DS24-DS25</f>
        <v>2.53163507139422</v>
      </c>
      <c r="DT26" s="177" t="n">
        <f aca="false">DT24-DT25</f>
        <v>2.50840806564808</v>
      </c>
      <c r="DU26" s="177" t="n">
        <f aca="false">DU24-DU25</f>
        <v>2.48539805173224</v>
      </c>
      <c r="DV26" s="177" t="n">
        <f aca="false">DV24-DV25</f>
        <v>2.462602629331</v>
      </c>
      <c r="DW26" s="177" t="n">
        <f aca="false">DW24-DW25</f>
        <v>2.44001942723076</v>
      </c>
      <c r="DX26" s="177" t="n">
        <f aca="false">DX24-DX25</f>
        <v>2.41764610295064</v>
      </c>
      <c r="DY26" s="177" t="n">
        <f aca="false">DY24-DY25</f>
        <v>2.39548034237791</v>
      </c>
      <c r="DZ26" s="177" t="n">
        <f aca="false">DZ24-DZ25</f>
        <v>2.37351985940817</v>
      </c>
      <c r="EA26" s="177" t="n">
        <f aca="false">EA24-EA25</f>
        <v>2.35176239559017</v>
      </c>
      <c r="EB26" s="177" t="n">
        <f aca="false">EB24-EB25</f>
        <v>2.33020571977531</v>
      </c>
      <c r="EC26" s="177" t="n">
        <f aca="false">EC24-EC25</f>
        <v>2.30884762777161</v>
      </c>
      <c r="ED26" s="177" t="n">
        <f aca="false">ED24-ED25</f>
        <v>2.28768594200221</v>
      </c>
      <c r="EE26" s="177" t="n">
        <f aca="false">EE24-EE25</f>
        <v>2.26671851116835</v>
      </c>
      <c r="EF26" s="177" t="n">
        <f aca="false">EF24-EF25</f>
        <v>2.24594320991662</v>
      </c>
      <c r="EG26" s="177" t="n">
        <f aca="false">EG24-EG25</f>
        <v>2.22535793851063</v>
      </c>
      <c r="EH26" s="177" t="n">
        <f aca="false">EH24-EH25</f>
        <v>2.20496062250687</v>
      </c>
      <c r="EI26" s="177" t="n">
        <f aca="false">EI24-EI25</f>
        <v>2.18474921243482</v>
      </c>
      <c r="EJ26" s="177" t="n">
        <f aca="false">EJ24-EJ25</f>
        <v>2.16472168348117</v>
      </c>
      <c r="EK26" s="177" t="n">
        <f aca="false">EK24-EK25</f>
        <v>2.14487603517818</v>
      </c>
      <c r="EL26" s="177" t="n">
        <f aca="false">EL24-EL25</f>
        <v>2.12521029109602</v>
      </c>
      <c r="EM26" s="177" t="n">
        <f aca="false">EM24-EM25</f>
        <v>2.10572249853918</v>
      </c>
      <c r="EN26" s="177" t="n">
        <f aca="false">EN24-EN25</f>
        <v>2.08641072824671</v>
      </c>
      <c r="EO26" s="177" t="n">
        <f aca="false">EO24-EO25</f>
        <v>2.06727307409647</v>
      </c>
      <c r="EP26" s="177" t="n">
        <f aca="false">EP24-EP25</f>
        <v>2.04830765281307</v>
      </c>
      <c r="EQ26" s="177" t="n">
        <f aca="false">EQ24-EQ25</f>
        <v>2.02951260367972</v>
      </c>
      <c r="ER26" s="177" t="n">
        <f aca="false">ER24-ER25</f>
        <v>2.01088608825373</v>
      </c>
      <c r="ES26" s="177" t="n">
        <f aca="false">ES24-ES25</f>
        <v>1.99242629008575</v>
      </c>
      <c r="ET26" s="177" t="n">
        <f aca="false">ET24-ET25</f>
        <v>1.97413141444258</v>
      </c>
      <c r="EU26" s="177" t="n">
        <f aca="false">EU24-EU25</f>
        <v>1.95599968803361</v>
      </c>
      <c r="EV26" s="177" t="n">
        <f aca="false">EV24-EV25</f>
        <v>1.93802935874082</v>
      </c>
      <c r="EW26" s="177" t="n">
        <f aca="false">EW24-EW25</f>
        <v>1.92021869535223</v>
      </c>
      <c r="EX26" s="177" t="n">
        <f aca="false">EX24-EX25</f>
        <v>1.90256598729879</v>
      </c>
      <c r="EY26" s="177" t="n">
        <f aca="false">EY24-EY25</f>
        <v>1.88506954439475</v>
      </c>
      <c r="EZ26" s="177" t="n">
        <f aca="false">EZ24-EZ25</f>
        <v>1.86772769658127</v>
      </c>
      <c r="FA26" s="177" t="n">
        <f aca="false">FA24-FA25</f>
        <v>1.85053879367348</v>
      </c>
      <c r="FB26" s="177" t="n">
        <f aca="false">FB24-FB25</f>
        <v>1.83350120511067</v>
      </c>
      <c r="FC26" s="177" t="n">
        <f aca="false">FC24-FC25</f>
        <v>1.81661331970981</v>
      </c>
      <c r="FD26" s="177" t="n">
        <f aca="false">FD24-FD25</f>
        <v>1.79987354542222</v>
      </c>
      <c r="FE26" s="177" t="n">
        <f aca="false">FE24-FE25</f>
        <v>1.78328030909338</v>
      </c>
      <c r="FF26" s="177" t="n">
        <f aca="false">FF24-FF25</f>
        <v>1.76683205622583</v>
      </c>
      <c r="FG26" s="177" t="n">
        <f aca="false">FG24-FG25</f>
        <v>1.75052725074518</v>
      </c>
      <c r="FH26" s="177" t="n">
        <f aca="false">FH24-FH25</f>
        <v>1.73436437476906</v>
      </c>
      <c r="FI26" s="177" t="n">
        <f aca="false">FI24-FI25</f>
        <v>1.71834192837914</v>
      </c>
      <c r="FJ26" s="177" t="n">
        <f aca="false">FJ24-FJ25</f>
        <v>1.70245842939603</v>
      </c>
      <c r="FK26" s="177" t="n">
        <f aca="false">FK24-FK25</f>
        <v>1.68671241315713</v>
      </c>
      <c r="FL26" s="177" t="n">
        <f aca="false">FL24-FL25</f>
        <v>1.67110243229726</v>
      </c>
      <c r="FM26" s="177" t="n">
        <f aca="false">FM24-FM25</f>
        <v>1.65562705653224</v>
      </c>
      <c r="FN26" s="177" t="n">
        <f aca="false">FN24-FN25</f>
        <v>1.6402848724452</v>
      </c>
      <c r="FO26" s="177" t="n">
        <f aca="false">FO24-FO25</f>
        <v>1.62507448327557</v>
      </c>
      <c r="FP26" s="177" t="n">
        <f aca="false">FP24-FP25</f>
        <v>1.60999450871096</v>
      </c>
      <c r="FQ26" s="177" t="n">
        <f aca="false">FQ24-FQ25</f>
        <v>1.59504358468156</v>
      </c>
      <c r="FR26" s="177" t="n">
        <f aca="false">FR24-FR25</f>
        <v>1.58022036315725</v>
      </c>
      <c r="FS26" s="177" t="n">
        <f aca="false">FS24-FS25</f>
        <v>1.56552351194739</v>
      </c>
      <c r="FT26" s="177" t="n">
        <f aca="false">FT24-FT25</f>
        <v>1.55095171450304</v>
      </c>
      <c r="FU26" s="177" t="n">
        <f aca="false">FU24-FU25</f>
        <v>1.53650366972188</v>
      </c>
      <c r="FV26" s="177" t="n">
        <f aca="false">FV24-FV25</f>
        <v>1.52217809175551</v>
      </c>
      <c r="FW26" s="177" t="n">
        <f aca="false">FW24-FW25</f>
        <v>1.50797370981934</v>
      </c>
      <c r="FX26" s="177" t="n">
        <f aca="false">FX24-FX25</f>
        <v>1.49388926800485</v>
      </c>
      <c r="FY26" s="177" t="n">
        <f aca="false">FY24-FY25</f>
        <v>1.47992352509429</v>
      </c>
      <c r="FZ26" s="1"/>
    </row>
    <row r="27" customFormat="false" ht="15" hidden="false" customHeight="true" outlineLevel="0" collapsed="false">
      <c r="A27" s="18" t="s">
        <v>244</v>
      </c>
      <c r="B27" s="176" t="n">
        <v>-0.0813</v>
      </c>
      <c r="C27" s="176" t="n">
        <v>-0.0813</v>
      </c>
      <c r="D27" s="176" t="n">
        <v>-0.0813</v>
      </c>
      <c r="E27" s="176" t="n">
        <v>-0.3385</v>
      </c>
      <c r="F27" s="176" t="n">
        <v>-0.1193</v>
      </c>
      <c r="G27" s="176" t="n">
        <v>0.094</v>
      </c>
      <c r="H27" s="176" t="n">
        <v>-0.389</v>
      </c>
      <c r="I27" s="176" t="n">
        <v>0.5333</v>
      </c>
      <c r="J27" s="176" t="n">
        <v>0.9563</v>
      </c>
      <c r="K27" s="176" t="n">
        <v>1.3136</v>
      </c>
      <c r="L27" s="176" t="n">
        <v>1.8227</v>
      </c>
      <c r="M27" s="176" t="n">
        <v>2.2907</v>
      </c>
      <c r="N27" s="177" t="n">
        <v>2.6832</v>
      </c>
      <c r="O27" s="177" t="n">
        <v>3.2096</v>
      </c>
      <c r="P27" s="177" t="n">
        <v>3.7212</v>
      </c>
      <c r="Q27" s="177" t="n">
        <v>4.198</v>
      </c>
      <c r="R27" s="177" t="n">
        <v>4.6743</v>
      </c>
      <c r="S27" s="177" t="n">
        <v>5.1369</v>
      </c>
      <c r="T27" s="177" t="n">
        <v>5.4349</v>
      </c>
      <c r="U27" s="177" t="n">
        <v>5.6715</v>
      </c>
      <c r="V27" s="177" t="n">
        <v>5.9006</v>
      </c>
      <c r="W27" s="177" t="n">
        <v>6.1223</v>
      </c>
      <c r="X27" s="177" t="n">
        <v>6.1314</v>
      </c>
      <c r="Y27" s="177" t="n">
        <v>6.1389</v>
      </c>
      <c r="Z27" s="176" t="n">
        <v>6.3006</v>
      </c>
      <c r="AA27" s="176" t="n">
        <v>6.4566</v>
      </c>
      <c r="AB27" s="176" t="n">
        <v>6.6071</v>
      </c>
      <c r="AC27" s="176" t="n">
        <v>6.7522</v>
      </c>
      <c r="AD27" s="176" t="n">
        <v>6.8432</v>
      </c>
      <c r="AE27" s="176" t="n">
        <v>6.9304</v>
      </c>
      <c r="AF27" s="176" t="n">
        <v>7.0799</v>
      </c>
      <c r="AG27" s="176" t="n">
        <v>7.2239</v>
      </c>
      <c r="AH27" s="176" t="n">
        <v>7.3626</v>
      </c>
      <c r="AI27" s="176" t="n">
        <v>7.4961</v>
      </c>
      <c r="AJ27" s="176" t="n">
        <v>7.6245</v>
      </c>
      <c r="AK27" s="176" t="n">
        <v>7.7479</v>
      </c>
      <c r="AL27" s="177" t="n">
        <v>7.8864</v>
      </c>
      <c r="AM27" s="177" t="n">
        <v>8.0196</v>
      </c>
      <c r="AN27" s="177" t="n">
        <v>8.1476</v>
      </c>
      <c r="AO27" s="177" t="n">
        <v>8.2706</v>
      </c>
      <c r="AP27" s="177" t="n">
        <v>8.3885</v>
      </c>
      <c r="AQ27" s="177" t="n">
        <v>8.5017</v>
      </c>
      <c r="AR27" s="177" t="n">
        <v>8.4245</v>
      </c>
      <c r="AS27" s="177" t="n">
        <v>8.3477</v>
      </c>
      <c r="AT27" s="177" t="n">
        <v>8.2712</v>
      </c>
      <c r="AU27" s="177" t="n">
        <v>8.1952</v>
      </c>
      <c r="AV27" s="177" t="n">
        <v>8.1195</v>
      </c>
      <c r="AW27" s="177" t="n">
        <v>1.5668</v>
      </c>
      <c r="AX27" s="176" t="n">
        <v>7.9231</v>
      </c>
      <c r="AY27" s="176" t="n">
        <v>7.8037</v>
      </c>
      <c r="AZ27" s="176" t="n">
        <v>7.6859</v>
      </c>
      <c r="BA27" s="176" t="n">
        <v>7.5696</v>
      </c>
      <c r="BB27" s="176" t="n">
        <v>7.455</v>
      </c>
      <c r="BC27" s="176" t="n">
        <v>7.3418</v>
      </c>
      <c r="BD27" s="176" t="n">
        <v>7.2302</v>
      </c>
      <c r="BE27" s="176" t="n">
        <v>7.1201</v>
      </c>
      <c r="BF27" s="176" t="n">
        <v>7.0115</v>
      </c>
      <c r="BG27" s="176" t="n">
        <v>6.9043</v>
      </c>
      <c r="BH27" s="176" t="n">
        <v>6.7986</v>
      </c>
      <c r="BI27" s="176" t="n">
        <v>-2.5255</v>
      </c>
      <c r="BJ27" s="177" t="n">
        <v>6.5914</v>
      </c>
      <c r="BK27" s="177" t="n">
        <v>6.4899</v>
      </c>
      <c r="BL27" s="177" t="n">
        <v>6.3898</v>
      </c>
      <c r="BM27" s="177" t="n">
        <v>6.291</v>
      </c>
      <c r="BN27" s="177" t="n">
        <v>6.1935</v>
      </c>
      <c r="BO27" s="177" t="n">
        <v>6.0974</v>
      </c>
      <c r="BP27" s="177" t="n">
        <v>6.0025</v>
      </c>
      <c r="BQ27" s="177" t="n">
        <v>5.9089</v>
      </c>
      <c r="BR27" s="177" t="n">
        <v>5.8166</v>
      </c>
      <c r="BS27" s="177" t="n">
        <v>5.7255</v>
      </c>
      <c r="BT27" s="177" t="n">
        <v>5.6356</v>
      </c>
      <c r="BU27" s="177" t="n">
        <v>-0.5714</v>
      </c>
      <c r="BV27" s="176" t="n">
        <v>5.4595</v>
      </c>
      <c r="BW27" s="176" t="n">
        <v>5.3732</v>
      </c>
      <c r="BX27" s="176" t="n">
        <v>5.2881</v>
      </c>
      <c r="BY27" s="176" t="n">
        <v>5.2041</v>
      </c>
      <c r="BZ27" s="176" t="n">
        <v>5.1213</v>
      </c>
      <c r="CA27" s="176" t="n">
        <v>5.0395</v>
      </c>
      <c r="CB27" s="176" t="n">
        <v>4.9589</v>
      </c>
      <c r="CC27" s="176" t="n">
        <v>4.8794</v>
      </c>
      <c r="CD27" s="176" t="n">
        <v>4.8009</v>
      </c>
      <c r="CE27" s="176" t="n">
        <v>4.7235</v>
      </c>
      <c r="CF27" s="176" t="n">
        <v>4.6471</v>
      </c>
      <c r="CG27" s="176" t="n">
        <v>1.0895</v>
      </c>
      <c r="CH27" s="177" t="n">
        <v>4.4974</v>
      </c>
      <c r="CI27" s="177" t="n">
        <v>4.424</v>
      </c>
      <c r="CJ27" s="177" t="n">
        <v>4.3517</v>
      </c>
      <c r="CK27" s="177" t="n">
        <v>4.2803</v>
      </c>
      <c r="CL27" s="177" t="n">
        <v>4.2099</v>
      </c>
      <c r="CM27" s="177" t="n">
        <v>4.1404</v>
      </c>
      <c r="CN27" s="177" t="n">
        <v>4.0719</v>
      </c>
      <c r="CO27" s="177" t="n">
        <v>4.0043</v>
      </c>
      <c r="CP27" s="177" t="n">
        <v>3.9375</v>
      </c>
      <c r="CQ27" s="177" t="n">
        <v>3.8717</v>
      </c>
      <c r="CR27" s="177" t="n">
        <v>3.8068</v>
      </c>
      <c r="CS27" s="177" t="n">
        <v>2.5013</v>
      </c>
      <c r="CT27" s="176" t="n">
        <v>3.6796</v>
      </c>
      <c r="CU27" s="176" t="n">
        <v>3.6172</v>
      </c>
      <c r="CV27" s="176" t="n">
        <v>3.5557</v>
      </c>
      <c r="CW27" s="176" t="n">
        <v>3.4951</v>
      </c>
      <c r="CX27" s="176" t="n">
        <v>3.4352</v>
      </c>
      <c r="CY27" s="176" t="n">
        <v>3.3761</v>
      </c>
      <c r="CZ27" s="176" t="n">
        <v>3.3179</v>
      </c>
      <c r="DA27" s="176" t="n">
        <v>3.2604</v>
      </c>
      <c r="DB27" s="176" t="n">
        <v>3.2037</v>
      </c>
      <c r="DC27" s="176" t="n">
        <v>3.1478</v>
      </c>
      <c r="DD27" s="176" t="n">
        <v>3.0926</v>
      </c>
      <c r="DE27" s="176" t="n">
        <v>3.0381</v>
      </c>
      <c r="DF27" s="177" t="n">
        <v>2.9844</v>
      </c>
      <c r="DG27" s="177" t="n">
        <v>2.9314</v>
      </c>
      <c r="DH27" s="177" t="n">
        <v>2.8792</v>
      </c>
      <c r="DI27" s="177" t="n">
        <v>2.8276</v>
      </c>
      <c r="DJ27" s="177" t="n">
        <v>2.7767</v>
      </c>
      <c r="DK27" s="177" t="n">
        <v>2.7265</v>
      </c>
      <c r="DL27" s="177" t="n">
        <v>2.677</v>
      </c>
      <c r="DM27" s="177" t="n">
        <v>2.6281</v>
      </c>
      <c r="DN27" s="177" t="n">
        <v>2.58</v>
      </c>
      <c r="DO27" s="177" t="n">
        <v>2.5324</v>
      </c>
      <c r="DP27" s="177" t="n">
        <v>2.4855</v>
      </c>
      <c r="DQ27" s="177" t="n">
        <v>2.4392</v>
      </c>
      <c r="DR27" s="176" t="n">
        <v>2.3936</v>
      </c>
      <c r="DS27" s="176" t="n">
        <v>2.3485</v>
      </c>
      <c r="DT27" s="176" t="n">
        <v>2.3041</v>
      </c>
      <c r="DU27" s="176" t="n">
        <v>2.2603</v>
      </c>
      <c r="DV27" s="176" t="n">
        <v>2.217</v>
      </c>
      <c r="DW27" s="176" t="n">
        <v>2.1743</v>
      </c>
      <c r="DX27" s="176" t="n">
        <v>2.1322</v>
      </c>
      <c r="DY27" s="176" t="n">
        <v>2.0907</v>
      </c>
      <c r="DZ27" s="176" t="n">
        <v>2.0498</v>
      </c>
      <c r="EA27" s="176" t="n">
        <v>2.0093</v>
      </c>
      <c r="EB27" s="176" t="n">
        <v>1.9695</v>
      </c>
      <c r="EC27" s="176" t="n">
        <v>1.9301</v>
      </c>
      <c r="ED27" s="177" t="n">
        <v>1.8913</v>
      </c>
      <c r="EE27" s="177" t="n">
        <v>1.853</v>
      </c>
      <c r="EF27" s="177" t="n">
        <v>1.8153</v>
      </c>
      <c r="EG27" s="177" t="n">
        <v>1.778</v>
      </c>
      <c r="EH27" s="177" t="n">
        <v>1.7413</v>
      </c>
      <c r="EI27" s="177" t="n">
        <v>1.705</v>
      </c>
      <c r="EJ27" s="177" t="n">
        <v>1.6692</v>
      </c>
      <c r="EK27" s="177" t="n">
        <v>1.6339</v>
      </c>
      <c r="EL27" s="177" t="n">
        <v>1.5991</v>
      </c>
      <c r="EM27" s="177" t="n">
        <v>1.5647</v>
      </c>
      <c r="EN27" s="177" t="n">
        <v>1.5308</v>
      </c>
      <c r="EO27" s="177" t="n">
        <v>1.4974</v>
      </c>
      <c r="EP27" s="176" t="n">
        <v>1.4644</v>
      </c>
      <c r="EQ27" s="176" t="n">
        <v>1.4319</v>
      </c>
      <c r="ER27" s="176" t="n">
        <v>1.3998</v>
      </c>
      <c r="ES27" s="176" t="n">
        <v>1.3681</v>
      </c>
      <c r="ET27" s="176" t="n">
        <v>1.3369</v>
      </c>
      <c r="EU27" s="176" t="n">
        <v>1.306</v>
      </c>
      <c r="EV27" s="176" t="n">
        <v>1.2756</v>
      </c>
      <c r="EW27" s="176" t="n">
        <v>1.2456</v>
      </c>
      <c r="EX27" s="176" t="n">
        <v>1.216</v>
      </c>
      <c r="EY27" s="176" t="n">
        <v>1.1868</v>
      </c>
      <c r="EZ27" s="176" t="n">
        <v>1.158</v>
      </c>
      <c r="FA27" s="176" t="n">
        <v>1.1296</v>
      </c>
      <c r="FB27" s="177" t="n">
        <v>1.1016</v>
      </c>
      <c r="FC27" s="177" t="n">
        <v>1.0739</v>
      </c>
      <c r="FD27" s="177" t="n">
        <v>1.0466</v>
      </c>
      <c r="FE27" s="177" t="n">
        <v>1.0197</v>
      </c>
      <c r="FF27" s="177" t="n">
        <v>0.9931</v>
      </c>
      <c r="FG27" s="177" t="n">
        <v>0.9669</v>
      </c>
      <c r="FH27" s="177" t="n">
        <v>0.9411</v>
      </c>
      <c r="FI27" s="177" t="n">
        <v>0.9156</v>
      </c>
      <c r="FJ27" s="177" t="n">
        <v>0.8904</v>
      </c>
      <c r="FK27" s="177" t="n">
        <v>0.8656</v>
      </c>
      <c r="FL27" s="177" t="n">
        <v>0.8411</v>
      </c>
      <c r="FM27" s="177" t="n">
        <v>0.817</v>
      </c>
      <c r="FN27" s="176" t="n">
        <v>0.7931</v>
      </c>
      <c r="FO27" s="176" t="n">
        <v>0.7696</v>
      </c>
      <c r="FP27" s="176" t="n">
        <v>0.7464</v>
      </c>
      <c r="FQ27" s="176" t="n">
        <v>0.7235</v>
      </c>
      <c r="FR27" s="176" t="n">
        <v>0.701</v>
      </c>
      <c r="FS27" s="176" t="n">
        <v>0.6787</v>
      </c>
      <c r="FT27" s="176" t="n">
        <v>0.6567</v>
      </c>
      <c r="FU27" s="176" t="n">
        <v>0.635</v>
      </c>
      <c r="FV27" s="176" t="n">
        <v>0.6137</v>
      </c>
      <c r="FW27" s="176" t="n">
        <v>0.5926</v>
      </c>
      <c r="FX27" s="176" t="n">
        <v>0.5717</v>
      </c>
      <c r="FY27" s="176" t="n">
        <v>0.5512</v>
      </c>
      <c r="FZ27" s="1"/>
    </row>
    <row r="28" customFormat="false" ht="15" hidden="false" customHeight="true" outlineLevel="0" collapsed="false">
      <c r="A28" s="17" t="s">
        <v>246</v>
      </c>
      <c r="B28" s="170" t="n">
        <f aca="false">_Engine_R50!C31</f>
        <v>0.25</v>
      </c>
      <c r="C28" s="170" t="n">
        <f aca="false">_Engine_R50!C32</f>
        <v>0.25</v>
      </c>
      <c r="D28" s="170" t="n">
        <f aca="false">_Engine_R50!C33</f>
        <v>0.25</v>
      </c>
      <c r="E28" s="170" t="n">
        <f aca="false">_Engine_R50!C34</f>
        <v>0.25</v>
      </c>
      <c r="F28" s="170" t="n">
        <f aca="false">_Engine_R50!C35</f>
        <v>0.25</v>
      </c>
      <c r="G28" s="170" t="n">
        <f aca="false">_Engine_R50!C36</f>
        <v>0.25</v>
      </c>
      <c r="H28" s="170" t="n">
        <f aca="false">_Engine_R50!C37</f>
        <v>0.25</v>
      </c>
      <c r="I28" s="170" t="n">
        <f aca="false">_Engine_R50!C38</f>
        <v>0.25</v>
      </c>
      <c r="J28" s="170" t="n">
        <f aca="false">_Engine_R50!C39</f>
        <v>0.25</v>
      </c>
      <c r="K28" s="170" t="n">
        <f aca="false">_Engine_R50!C40</f>
        <v>0.25</v>
      </c>
      <c r="L28" s="170" t="n">
        <f aca="false">_Engine_R50!C41</f>
        <v>0.25</v>
      </c>
      <c r="M28" s="170" t="n">
        <f aca="false">_Engine_R50!C42</f>
        <v>0.25</v>
      </c>
      <c r="N28" s="46" t="n">
        <f aca="false">_Engine_R50!C43</f>
        <v>0.25</v>
      </c>
      <c r="O28" s="46" t="n">
        <f aca="false">_Engine_R50!C44</f>
        <v>0.25</v>
      </c>
      <c r="P28" s="46" t="n">
        <f aca="false">_Engine_R50!C45</f>
        <v>0.25</v>
      </c>
      <c r="Q28" s="46" t="n">
        <f aca="false">_Engine_R50!C46</f>
        <v>0.25</v>
      </c>
      <c r="R28" s="46" t="n">
        <f aca="false">_Engine_R50!C47</f>
        <v>0.25</v>
      </c>
      <c r="S28" s="46" t="n">
        <f aca="false">_Engine_R50!C48</f>
        <v>0.25</v>
      </c>
      <c r="T28" s="46" t="n">
        <f aca="false">_Engine_R50!C49</f>
        <v>0</v>
      </c>
      <c r="U28" s="46" t="n">
        <f aca="false">_Engine_R50!C50</f>
        <v>0</v>
      </c>
      <c r="V28" s="46" t="n">
        <f aca="false">_Engine_R50!C51</f>
        <v>0</v>
      </c>
      <c r="W28" s="46" t="n">
        <f aca="false">_Engine_R50!C52</f>
        <v>0</v>
      </c>
      <c r="X28" s="46" t="n">
        <f aca="false">_Engine_R50!C53</f>
        <v>0</v>
      </c>
      <c r="Y28" s="46" t="n">
        <f aca="false">_Engine_R50!C54</f>
        <v>0</v>
      </c>
      <c r="Z28" s="170" t="n">
        <f aca="false">_Engine_R50!C55</f>
        <v>0</v>
      </c>
      <c r="AA28" s="170" t="n">
        <f aca="false">_Engine_R50!C56</f>
        <v>0</v>
      </c>
      <c r="AB28" s="170" t="n">
        <f aca="false">_Engine_R50!C57</f>
        <v>0</v>
      </c>
      <c r="AC28" s="170" t="n">
        <f aca="false">_Engine_R50!C58</f>
        <v>0</v>
      </c>
      <c r="AD28" s="170" t="n">
        <f aca="false">_Engine_R50!C59</f>
        <v>0</v>
      </c>
      <c r="AE28" s="170" t="n">
        <f aca="false">_Engine_R50!C60</f>
        <v>0</v>
      </c>
      <c r="AF28" s="170" t="n">
        <f aca="false">_Engine_R50!C61</f>
        <v>0</v>
      </c>
      <c r="AG28" s="170" t="n">
        <f aca="false">_Engine_R50!C62</f>
        <v>0</v>
      </c>
      <c r="AH28" s="170" t="n">
        <f aca="false">_Engine_R50!C63</f>
        <v>0</v>
      </c>
      <c r="AI28" s="170" t="n">
        <f aca="false">_Engine_R50!C64</f>
        <v>0</v>
      </c>
      <c r="AJ28" s="170" t="n">
        <f aca="false">_Engine_R50!C65</f>
        <v>0</v>
      </c>
      <c r="AK28" s="170" t="n">
        <f aca="false">_Engine_R50!C66</f>
        <v>0</v>
      </c>
      <c r="AL28" s="46" t="n">
        <f aca="false">_Engine_R50!C67</f>
        <v>0</v>
      </c>
      <c r="AM28" s="46" t="n">
        <f aca="false">_Engine_R50!C68</f>
        <v>0</v>
      </c>
      <c r="AN28" s="46" t="n">
        <f aca="false">_Engine_R50!C69</f>
        <v>0</v>
      </c>
      <c r="AO28" s="46" t="n">
        <f aca="false">_Engine_R50!C70</f>
        <v>0</v>
      </c>
      <c r="AP28" s="46" t="n">
        <f aca="false">_Engine_R50!C71</f>
        <v>0</v>
      </c>
      <c r="AQ28" s="46" t="n">
        <f aca="false">_Engine_R50!C72</f>
        <v>0</v>
      </c>
      <c r="AR28" s="46" t="n">
        <f aca="false">_Engine_R50!C73</f>
        <v>0</v>
      </c>
      <c r="AS28" s="46" t="n">
        <f aca="false">_Engine_R50!C74</f>
        <v>0</v>
      </c>
      <c r="AT28" s="46" t="n">
        <f aca="false">_Engine_R50!C75</f>
        <v>0</v>
      </c>
      <c r="AU28" s="46" t="n">
        <f aca="false">_Engine_R50!C76</f>
        <v>0</v>
      </c>
      <c r="AV28" s="46" t="n">
        <f aca="false">_Engine_R50!C77</f>
        <v>0</v>
      </c>
      <c r="AW28" s="46" t="n">
        <f aca="false">_Engine_R50!C78</f>
        <v>0</v>
      </c>
      <c r="AX28" s="170" t="n">
        <f aca="false">_Engine_R50!C79</f>
        <v>0</v>
      </c>
      <c r="AY28" s="170" t="n">
        <f aca="false">_Engine_R50!C80</f>
        <v>0</v>
      </c>
      <c r="AZ28" s="170" t="n">
        <f aca="false">_Engine_R50!C81</f>
        <v>0</v>
      </c>
      <c r="BA28" s="170" t="n">
        <f aca="false">_Engine_R50!C82</f>
        <v>0</v>
      </c>
      <c r="BB28" s="170" t="n">
        <f aca="false">_Engine_R50!C83</f>
        <v>0</v>
      </c>
      <c r="BC28" s="170" t="n">
        <f aca="false">_Engine_R50!C84</f>
        <v>0</v>
      </c>
      <c r="BD28" s="170" t="n">
        <f aca="false">_Engine_R50!C85</f>
        <v>0</v>
      </c>
      <c r="BE28" s="170" t="n">
        <f aca="false">_Engine_R50!C86</f>
        <v>0</v>
      </c>
      <c r="BF28" s="170" t="n">
        <f aca="false">_Engine_R50!C87</f>
        <v>0</v>
      </c>
      <c r="BG28" s="170" t="n">
        <f aca="false">_Engine_R50!C88</f>
        <v>0</v>
      </c>
      <c r="BH28" s="170" t="n">
        <f aca="false">_Engine_R50!C89</f>
        <v>0</v>
      </c>
      <c r="BI28" s="170" t="n">
        <f aca="false">_Engine_R50!C90</f>
        <v>0</v>
      </c>
      <c r="BJ28" s="46" t="n">
        <f aca="false">_Engine_R50!C91</f>
        <v>0</v>
      </c>
      <c r="BK28" s="46" t="n">
        <f aca="false">_Engine_R50!C92</f>
        <v>0</v>
      </c>
      <c r="BL28" s="46" t="n">
        <f aca="false">_Engine_R50!C93</f>
        <v>0</v>
      </c>
      <c r="BM28" s="46" t="n">
        <f aca="false">_Engine_R50!C94</f>
        <v>0</v>
      </c>
      <c r="BN28" s="46" t="n">
        <f aca="false">_Engine_R50!C95</f>
        <v>0</v>
      </c>
      <c r="BO28" s="46" t="n">
        <f aca="false">_Engine_R50!C96</f>
        <v>0</v>
      </c>
      <c r="BP28" s="46" t="n">
        <f aca="false">_Engine_R50!C97</f>
        <v>0</v>
      </c>
      <c r="BQ28" s="46" t="n">
        <f aca="false">_Engine_R50!C98</f>
        <v>0</v>
      </c>
      <c r="BR28" s="46" t="n">
        <f aca="false">_Engine_R50!C99</f>
        <v>0</v>
      </c>
      <c r="BS28" s="46" t="n">
        <f aca="false">_Engine_R50!C100</f>
        <v>0</v>
      </c>
      <c r="BT28" s="46" t="n">
        <f aca="false">_Engine_R50!C101</f>
        <v>0</v>
      </c>
      <c r="BU28" s="46" t="n">
        <f aca="false">_Engine_R50!C102</f>
        <v>0</v>
      </c>
      <c r="BV28" s="170" t="n">
        <f aca="false">_Engine_R50!C103</f>
        <v>0</v>
      </c>
      <c r="BW28" s="170" t="n">
        <f aca="false">_Engine_R50!C104</f>
        <v>0</v>
      </c>
      <c r="BX28" s="170" t="n">
        <f aca="false">_Engine_R50!C105</f>
        <v>0</v>
      </c>
      <c r="BY28" s="170" t="n">
        <f aca="false">_Engine_R50!C106</f>
        <v>0</v>
      </c>
      <c r="BZ28" s="170" t="n">
        <f aca="false">_Engine_R50!C107</f>
        <v>0</v>
      </c>
      <c r="CA28" s="170" t="n">
        <f aca="false">_Engine_R50!C108</f>
        <v>0</v>
      </c>
      <c r="CB28" s="170" t="n">
        <f aca="false">_Engine_R50!C109</f>
        <v>0</v>
      </c>
      <c r="CC28" s="170" t="n">
        <f aca="false">_Engine_R50!C110</f>
        <v>0</v>
      </c>
      <c r="CD28" s="170" t="n">
        <f aca="false">_Engine_R50!C111</f>
        <v>0</v>
      </c>
      <c r="CE28" s="170" t="n">
        <f aca="false">_Engine_R50!C112</f>
        <v>0</v>
      </c>
      <c r="CF28" s="170" t="n">
        <f aca="false">_Engine_R50!C113</f>
        <v>0</v>
      </c>
      <c r="CG28" s="170" t="n">
        <f aca="false">_Engine_R50!C114</f>
        <v>0</v>
      </c>
      <c r="CH28" s="46" t="n">
        <f aca="false">_Engine_R50!C115</f>
        <v>0</v>
      </c>
      <c r="CI28" s="46" t="n">
        <f aca="false">_Engine_R50!C116</f>
        <v>0</v>
      </c>
      <c r="CJ28" s="46" t="n">
        <f aca="false">_Engine_R50!C117</f>
        <v>0</v>
      </c>
      <c r="CK28" s="46" t="n">
        <f aca="false">_Engine_R50!C118</f>
        <v>0</v>
      </c>
      <c r="CL28" s="46" t="n">
        <f aca="false">_Engine_R50!C119</f>
        <v>0</v>
      </c>
      <c r="CM28" s="46" t="n">
        <f aca="false">_Engine_R50!C120</f>
        <v>0</v>
      </c>
      <c r="CN28" s="46" t="n">
        <f aca="false">_Engine_R50!C121</f>
        <v>0</v>
      </c>
      <c r="CO28" s="46" t="n">
        <f aca="false">_Engine_R50!C122</f>
        <v>0</v>
      </c>
      <c r="CP28" s="46" t="n">
        <f aca="false">_Engine_R50!C123</f>
        <v>0</v>
      </c>
      <c r="CQ28" s="46" t="n">
        <f aca="false">_Engine_R50!C124</f>
        <v>0</v>
      </c>
      <c r="CR28" s="46" t="n">
        <f aca="false">_Engine_R50!C125</f>
        <v>0</v>
      </c>
      <c r="CS28" s="46" t="n">
        <f aca="false">_Engine_R50!C126</f>
        <v>0</v>
      </c>
      <c r="CT28" s="170" t="n">
        <f aca="false">_Engine_R50!C127</f>
        <v>0</v>
      </c>
      <c r="CU28" s="170" t="n">
        <f aca="false">_Engine_R50!C128</f>
        <v>0</v>
      </c>
      <c r="CV28" s="170" t="n">
        <f aca="false">_Engine_R50!C129</f>
        <v>0</v>
      </c>
      <c r="CW28" s="170" t="n">
        <f aca="false">_Engine_R50!C130</f>
        <v>0</v>
      </c>
      <c r="CX28" s="170" t="n">
        <f aca="false">_Engine_R50!C131</f>
        <v>0</v>
      </c>
      <c r="CY28" s="170" t="n">
        <f aca="false">_Engine_R50!C132</f>
        <v>0</v>
      </c>
      <c r="CZ28" s="170" t="n">
        <f aca="false">_Engine_R50!C133</f>
        <v>0</v>
      </c>
      <c r="DA28" s="170" t="n">
        <f aca="false">_Engine_R50!C134</f>
        <v>0</v>
      </c>
      <c r="DB28" s="170" t="n">
        <f aca="false">_Engine_R50!C135</f>
        <v>0</v>
      </c>
      <c r="DC28" s="170" t="n">
        <f aca="false">_Engine_R50!C136</f>
        <v>0</v>
      </c>
      <c r="DD28" s="170" t="n">
        <f aca="false">_Engine_R50!C137</f>
        <v>0</v>
      </c>
      <c r="DE28" s="170" t="n">
        <f aca="false">_Engine_R50!C138</f>
        <v>0</v>
      </c>
      <c r="DF28" s="46" t="n">
        <f aca="false">_Engine_R50!C139</f>
        <v>0</v>
      </c>
      <c r="DG28" s="46" t="n">
        <f aca="false">_Engine_R50!C140</f>
        <v>0</v>
      </c>
      <c r="DH28" s="46" t="n">
        <f aca="false">_Engine_R50!C141</f>
        <v>0</v>
      </c>
      <c r="DI28" s="46" t="n">
        <f aca="false">_Engine_R50!C142</f>
        <v>0</v>
      </c>
      <c r="DJ28" s="46" t="n">
        <f aca="false">_Engine_R50!C143</f>
        <v>0</v>
      </c>
      <c r="DK28" s="46" t="n">
        <f aca="false">_Engine_R50!C144</f>
        <v>0</v>
      </c>
      <c r="DL28" s="46" t="n">
        <f aca="false">_Engine_R50!C145</f>
        <v>0</v>
      </c>
      <c r="DM28" s="46" t="n">
        <f aca="false">_Engine_R50!C146</f>
        <v>0</v>
      </c>
      <c r="DN28" s="46" t="n">
        <f aca="false">_Engine_R50!C147</f>
        <v>0</v>
      </c>
      <c r="DO28" s="46" t="n">
        <f aca="false">_Engine_R50!C148</f>
        <v>0</v>
      </c>
      <c r="DP28" s="46" t="n">
        <f aca="false">_Engine_R50!C149</f>
        <v>0</v>
      </c>
      <c r="DQ28" s="46" t="n">
        <f aca="false">_Engine_R50!C150</f>
        <v>0</v>
      </c>
      <c r="DR28" s="170" t="n">
        <f aca="false">_Engine_R50!C151</f>
        <v>0</v>
      </c>
      <c r="DS28" s="170" t="n">
        <f aca="false">_Engine_R50!C152</f>
        <v>0</v>
      </c>
      <c r="DT28" s="170" t="n">
        <f aca="false">_Engine_R50!C153</f>
        <v>0</v>
      </c>
      <c r="DU28" s="170" t="n">
        <f aca="false">_Engine_R50!C154</f>
        <v>0</v>
      </c>
      <c r="DV28" s="170" t="n">
        <f aca="false">_Engine_R50!C155</f>
        <v>0</v>
      </c>
      <c r="DW28" s="170" t="n">
        <f aca="false">_Engine_R50!C156</f>
        <v>0</v>
      </c>
      <c r="DX28" s="170" t="n">
        <f aca="false">_Engine_R50!C157</f>
        <v>0</v>
      </c>
      <c r="DY28" s="170" t="n">
        <f aca="false">_Engine_R50!C158</f>
        <v>0</v>
      </c>
      <c r="DZ28" s="170" t="n">
        <f aca="false">_Engine_R50!C159</f>
        <v>0</v>
      </c>
      <c r="EA28" s="170" t="n">
        <f aca="false">_Engine_R50!C160</f>
        <v>0</v>
      </c>
      <c r="EB28" s="170" t="n">
        <f aca="false">_Engine_R50!C161</f>
        <v>0</v>
      </c>
      <c r="EC28" s="170" t="n">
        <f aca="false">_Engine_R50!C162</f>
        <v>0</v>
      </c>
      <c r="ED28" s="46" t="n">
        <f aca="false">_Engine_R50!C163</f>
        <v>0</v>
      </c>
      <c r="EE28" s="46" t="n">
        <f aca="false">_Engine_R50!C164</f>
        <v>0</v>
      </c>
      <c r="EF28" s="46" t="n">
        <f aca="false">_Engine_R50!C165</f>
        <v>0</v>
      </c>
      <c r="EG28" s="46" t="n">
        <f aca="false">_Engine_R50!C166</f>
        <v>0</v>
      </c>
      <c r="EH28" s="46" t="n">
        <f aca="false">_Engine_R50!C167</f>
        <v>0</v>
      </c>
      <c r="EI28" s="46" t="n">
        <f aca="false">_Engine_R50!C168</f>
        <v>0</v>
      </c>
      <c r="EJ28" s="46" t="n">
        <f aca="false">_Engine_R50!C169</f>
        <v>0</v>
      </c>
      <c r="EK28" s="46" t="n">
        <f aca="false">_Engine_R50!C170</f>
        <v>0</v>
      </c>
      <c r="EL28" s="46" t="n">
        <f aca="false">_Engine_R50!C171</f>
        <v>0</v>
      </c>
      <c r="EM28" s="46" t="n">
        <f aca="false">_Engine_R50!C172</f>
        <v>0</v>
      </c>
      <c r="EN28" s="46" t="n">
        <f aca="false">_Engine_R50!C173</f>
        <v>0</v>
      </c>
      <c r="EO28" s="46" t="n">
        <f aca="false">_Engine_R50!C174</f>
        <v>0</v>
      </c>
      <c r="EP28" s="170" t="n">
        <f aca="false">_Engine_R50!C175</f>
        <v>0</v>
      </c>
      <c r="EQ28" s="170" t="n">
        <f aca="false">_Engine_R50!C176</f>
        <v>0</v>
      </c>
      <c r="ER28" s="170" t="n">
        <f aca="false">_Engine_R50!C177</f>
        <v>0</v>
      </c>
      <c r="ES28" s="170" t="n">
        <f aca="false">_Engine_R50!C178</f>
        <v>0</v>
      </c>
      <c r="ET28" s="170" t="n">
        <f aca="false">_Engine_R50!C179</f>
        <v>0</v>
      </c>
      <c r="EU28" s="170" t="n">
        <f aca="false">_Engine_R50!C180</f>
        <v>0</v>
      </c>
      <c r="EV28" s="170" t="n">
        <f aca="false">_Engine_R50!C181</f>
        <v>0</v>
      </c>
      <c r="EW28" s="170" t="n">
        <f aca="false">_Engine_R50!C182</f>
        <v>0</v>
      </c>
      <c r="EX28" s="170" t="n">
        <f aca="false">_Engine_R50!C183</f>
        <v>0</v>
      </c>
      <c r="EY28" s="170" t="n">
        <f aca="false">_Engine_R50!C184</f>
        <v>0</v>
      </c>
      <c r="EZ28" s="170" t="n">
        <f aca="false">_Engine_R50!C185</f>
        <v>0</v>
      </c>
      <c r="FA28" s="170" t="n">
        <f aca="false">_Engine_R50!C186</f>
        <v>0</v>
      </c>
      <c r="FB28" s="46" t="n">
        <f aca="false">_Engine_R50!C187</f>
        <v>0</v>
      </c>
      <c r="FC28" s="46" t="n">
        <f aca="false">_Engine_R50!C188</f>
        <v>0</v>
      </c>
      <c r="FD28" s="46" t="n">
        <f aca="false">_Engine_R50!C189</f>
        <v>0</v>
      </c>
      <c r="FE28" s="46" t="n">
        <f aca="false">_Engine_R50!C190</f>
        <v>0</v>
      </c>
      <c r="FF28" s="46" t="n">
        <f aca="false">_Engine_R50!C191</f>
        <v>0</v>
      </c>
      <c r="FG28" s="46" t="n">
        <f aca="false">_Engine_R50!C192</f>
        <v>0</v>
      </c>
      <c r="FH28" s="46" t="n">
        <f aca="false">_Engine_R50!C193</f>
        <v>0</v>
      </c>
      <c r="FI28" s="46" t="n">
        <f aca="false">_Engine_R50!C194</f>
        <v>0</v>
      </c>
      <c r="FJ28" s="46" t="n">
        <f aca="false">_Engine_R50!C195</f>
        <v>0</v>
      </c>
      <c r="FK28" s="46" t="n">
        <f aca="false">_Engine_R50!C196</f>
        <v>0</v>
      </c>
      <c r="FL28" s="46" t="n">
        <f aca="false">_Engine_R50!C197</f>
        <v>0</v>
      </c>
      <c r="FM28" s="46" t="n">
        <f aca="false">_Engine_R50!C198</f>
        <v>0</v>
      </c>
      <c r="FN28" s="170" t="n">
        <f aca="false">_Engine_R50!C199</f>
        <v>0</v>
      </c>
      <c r="FO28" s="170" t="n">
        <f aca="false">_Engine_R50!C200</f>
        <v>0</v>
      </c>
      <c r="FP28" s="170" t="n">
        <f aca="false">_Engine_R50!C201</f>
        <v>0</v>
      </c>
      <c r="FQ28" s="170" t="n">
        <f aca="false">_Engine_R50!C202</f>
        <v>0</v>
      </c>
      <c r="FR28" s="170" t="n">
        <f aca="false">_Engine_R50!C203</f>
        <v>0</v>
      </c>
      <c r="FS28" s="170" t="n">
        <f aca="false">_Engine_R50!C204</f>
        <v>0</v>
      </c>
      <c r="FT28" s="170" t="n">
        <f aca="false">_Engine_R50!C205</f>
        <v>0</v>
      </c>
      <c r="FU28" s="170" t="n">
        <f aca="false">_Engine_R50!C206</f>
        <v>0</v>
      </c>
      <c r="FV28" s="170" t="n">
        <f aca="false">_Engine_R50!C207</f>
        <v>0</v>
      </c>
      <c r="FW28" s="170" t="n">
        <f aca="false">_Engine_R50!C208</f>
        <v>0</v>
      </c>
      <c r="FX28" s="170" t="n">
        <f aca="false">_Engine_R50!C209</f>
        <v>0</v>
      </c>
      <c r="FY28" s="170" t="n">
        <f aca="false">_Engine_R50!C210</f>
        <v>0</v>
      </c>
      <c r="FZ28" s="1"/>
    </row>
    <row r="29" customFormat="false" ht="15" hidden="false" customHeight="true" outlineLevel="0" collapsed="false">
      <c r="A29" s="179" t="s">
        <v>247</v>
      </c>
      <c r="B29" s="180" t="n">
        <f aca="false">_Engine_R50!Z31</f>
        <v>-0.538105825</v>
      </c>
      <c r="C29" s="180" t="n">
        <f aca="false">_Engine_R50!Z32</f>
        <v>-0.538105825</v>
      </c>
      <c r="D29" s="180" t="n">
        <f aca="false">_Engine_R50!Z33</f>
        <v>-0.538105825</v>
      </c>
      <c r="E29" s="180" t="n">
        <f aca="false">_Engine_R50!Z34</f>
        <v>-2.50893915833333</v>
      </c>
      <c r="F29" s="180" t="n">
        <f aca="false">_Engine_R50!Z35</f>
        <v>0.0603537522559657</v>
      </c>
      <c r="G29" s="180" t="n">
        <f aca="false">_Engine_R50!Z36</f>
        <v>0.150192054955657</v>
      </c>
      <c r="H29" s="180" t="n">
        <f aca="false">_Engine_R50!Z37</f>
        <v>0.240045265075138</v>
      </c>
      <c r="I29" s="180" t="n">
        <f aca="false">_Engine_R50!Z38</f>
        <v>-1.31100669527431</v>
      </c>
      <c r="J29" s="180" t="n">
        <f aca="false">_Engine_R50!Z39</f>
        <v>0.745519202823621</v>
      </c>
      <c r="K29" s="180" t="n">
        <f aca="false">_Engine_R50!Z40</f>
        <v>0.834767502714328</v>
      </c>
      <c r="L29" s="180" t="n">
        <f aca="false">_Engine_R50!Z41</f>
        <v>0.924092791406335</v>
      </c>
      <c r="M29" s="180" t="n">
        <f aca="false">_Engine_R50!Z42</f>
        <v>0.0280777948255575</v>
      </c>
      <c r="N29" s="181" t="n">
        <f aca="false">_Engine_R50!Z43</f>
        <v>1.25234982919931</v>
      </c>
      <c r="O29" s="181" t="n">
        <f aca="false">_Engine_R50!Z44</f>
        <v>1.33746302079927</v>
      </c>
      <c r="P29" s="181" t="n">
        <f aca="false">_Engine_R50!Z45</f>
        <v>1.42279770922501</v>
      </c>
      <c r="Q29" s="181" t="n">
        <f aca="false">_Engine_R50!Z46</f>
        <v>0.522934664073079</v>
      </c>
      <c r="R29" s="181" t="n">
        <f aca="false">_Engine_R50!Z47</f>
        <v>1.91596818832284</v>
      </c>
      <c r="S29" s="181" t="n">
        <f aca="false">_Engine_R50!Z48</f>
        <v>1.99751267105663</v>
      </c>
      <c r="T29" s="181" t="n">
        <f aca="false">_Engine_R50!Z49</f>
        <v>2.20441549039192</v>
      </c>
      <c r="U29" s="181" t="n">
        <f aca="false">_Engine_R50!Z50</f>
        <v>2.28667222980383</v>
      </c>
      <c r="V29" s="181" t="n">
        <f aca="false">_Engine_R50!Z51</f>
        <v>2.36927852923083</v>
      </c>
      <c r="W29" s="181" t="n">
        <f aca="false">_Engine_R50!Z52</f>
        <v>2.36537823248664</v>
      </c>
      <c r="X29" s="181" t="n">
        <f aca="false">_Engine_R50!Z53</f>
        <v>2.36181894208926</v>
      </c>
      <c r="Y29" s="181" t="n">
        <f aca="false">_Engine_R50!Z54</f>
        <v>2.35859646298842</v>
      </c>
      <c r="Z29" s="180" t="n">
        <f aca="false">_Engine_R50!Z55</f>
        <v>2.35402014954325</v>
      </c>
      <c r="AA29" s="180" t="n">
        <f aca="false">_Engine_R50!Z56</f>
        <v>2.35145892149081</v>
      </c>
      <c r="AB29" s="180" t="n">
        <f aca="false">_Engine_R50!Z57</f>
        <v>2.34922223825704</v>
      </c>
      <c r="AC29" s="180" t="n">
        <f aca="false">_Engine_R50!Z58</f>
        <v>2.34082463346211</v>
      </c>
      <c r="AD29" s="180" t="n">
        <f aca="false">_Engine_R50!Z59</f>
        <v>2.33274365452726</v>
      </c>
      <c r="AE29" s="180" t="n">
        <f aca="false">_Engine_R50!Z60</f>
        <v>2.32497541756823</v>
      </c>
      <c r="AF29" s="180" t="n">
        <f aca="false">_Engine_R50!Z61</f>
        <v>2.31751608822342</v>
      </c>
      <c r="AG29" s="180" t="n">
        <f aca="false">_Engine_R50!Z62</f>
        <v>1.0880470661943</v>
      </c>
      <c r="AH29" s="180" t="n">
        <f aca="false">_Engine_R50!Z63</f>
        <v>12.6566802916792</v>
      </c>
      <c r="AI29" s="180" t="n">
        <f aca="false">_Engine_R50!Z64</f>
        <v>4.93659839414892</v>
      </c>
      <c r="AJ29" s="180" t="n">
        <f aca="false">_Engine_R50!Z65</f>
        <v>5.09276857154516</v>
      </c>
      <c r="AK29" s="180" t="n">
        <f aca="false">_Engine_R50!Z66</f>
        <v>5.23657807384983</v>
      </c>
      <c r="AL29" s="181" t="n">
        <f aca="false">_Engine_R50!Z67</f>
        <v>5.38098267191004</v>
      </c>
      <c r="AM29" s="181" t="n">
        <f aca="false">_Engine_R50!Z68</f>
        <v>5.35227156066294</v>
      </c>
      <c r="AN29" s="181" t="n">
        <f aca="false">_Engine_R50!Z69</f>
        <v>5.32414143203292</v>
      </c>
      <c r="AO29" s="181" t="n">
        <f aca="false">_Engine_R50!Z70</f>
        <v>5.28362239969616</v>
      </c>
      <c r="AP29" s="181" t="n">
        <f aca="false">_Engine_R50!Z71</f>
        <v>5.2436705905272</v>
      </c>
      <c r="AQ29" s="181" t="n">
        <f aca="false">_Engine_R50!Z72</f>
        <v>5.20427925457891</v>
      </c>
      <c r="AR29" s="181" t="n">
        <f aca="false">_Engine_R50!Z73</f>
        <v>5.16544172692943</v>
      </c>
      <c r="AS29" s="181" t="n">
        <f aca="false">_Engine_R50!Z74</f>
        <v>5.12715142658065</v>
      </c>
      <c r="AT29" s="181" t="n">
        <f aca="false">_Engine_R50!Z75</f>
        <v>5.08940185537121</v>
      </c>
      <c r="AU29" s="181" t="n">
        <f aca="false">_Engine_R50!Z76</f>
        <v>5.05218659690384</v>
      </c>
      <c r="AV29" s="181" t="n">
        <f aca="false">_Engine_R50!Z77</f>
        <v>5.01549931548677</v>
      </c>
      <c r="AW29" s="181" t="n">
        <f aca="false">_Engine_R50!Z78</f>
        <v>4.97933375508899</v>
      </c>
      <c r="AX29" s="180" t="n">
        <f aca="false">_Engine_R50!Z79</f>
        <v>4.94368373830938</v>
      </c>
      <c r="AY29" s="180" t="n">
        <f aca="false">_Engine_R50!Z80</f>
        <v>4.90854316535925</v>
      </c>
      <c r="AZ29" s="180" t="n">
        <f aca="false">_Engine_R50!Z81</f>
        <v>4.87390601305833</v>
      </c>
      <c r="BA29" s="180" t="n">
        <f aca="false">_Engine_R50!Z82</f>
        <v>4.83976633384391</v>
      </c>
      <c r="BB29" s="180" t="n">
        <f aca="false">_Engine_R50!Z83</f>
        <v>4.80611825479302</v>
      </c>
      <c r="BC29" s="180" t="n">
        <f aca="false">_Engine_R50!Z84</f>
        <v>4.77295597665744</v>
      </c>
      <c r="BD29" s="180" t="n">
        <f aca="false">_Engine_R50!Z85</f>
        <v>4.7402737729114</v>
      </c>
      <c r="BE29" s="180" t="n">
        <f aca="false">_Engine_R50!Z86</f>
        <v>4.69510302584878</v>
      </c>
      <c r="BF29" s="180" t="n">
        <f aca="false">_Engine_R50!Z87</f>
        <v>4.65040111454454</v>
      </c>
      <c r="BG29" s="180" t="n">
        <f aca="false">_Engine_R50!Z88</f>
        <v>4.60616252505056</v>
      </c>
      <c r="BH29" s="180" t="n">
        <f aca="false">_Engine_R50!Z89</f>
        <v>4.5623818124553</v>
      </c>
      <c r="BI29" s="180" t="n">
        <f aca="false">_Engine_R50!Z90</f>
        <v>4.51905359999238</v>
      </c>
      <c r="BJ29" s="181" t="n">
        <f aca="false">_Engine_R50!Z91</f>
        <v>4.47617257816085</v>
      </c>
      <c r="BK29" s="181" t="n">
        <f aca="false">_Engine_R50!Z92</f>
        <v>4.43373350385705</v>
      </c>
      <c r="BL29" s="181" t="n">
        <f aca="false">_Engine_R50!Z93</f>
        <v>4.39173119951773</v>
      </c>
      <c r="BM29" s="181" t="n">
        <f aca="false">_Engine_R50!Z94</f>
        <v>4.35016055227461</v>
      </c>
      <c r="BN29" s="181" t="n">
        <f aca="false">_Engine_R50!Z95</f>
        <v>4.30901651311983</v>
      </c>
      <c r="BO29" s="181" t="n">
        <f aca="false">_Engine_R50!Z96</f>
        <v>4.26829409608248</v>
      </c>
      <c r="BP29" s="181" t="n">
        <f aca="false">_Engine_R50!Z97</f>
        <v>4.22798837741585</v>
      </c>
      <c r="BQ29" s="181" t="n">
        <f aca="false">_Engine_R50!Z98</f>
        <v>4.18809449479541</v>
      </c>
      <c r="BR29" s="181" t="n">
        <f aca="false">_Engine_R50!Z99</f>
        <v>4.14860764652723</v>
      </c>
      <c r="BS29" s="181" t="n">
        <f aca="false">_Engine_R50!Z100</f>
        <v>4.10952309076682</v>
      </c>
      <c r="BT29" s="181" t="n">
        <f aca="false">_Engine_R50!Z101</f>
        <v>4.07083614474821</v>
      </c>
      <c r="BU29" s="181" t="n">
        <f aca="false">_Engine_R50!Z102</f>
        <v>4.0325421840231</v>
      </c>
      <c r="BV29" s="180" t="n">
        <f aca="false">_Engine_R50!Z103</f>
        <v>3.99463664171001</v>
      </c>
      <c r="BW29" s="180" t="n">
        <f aca="false">_Engine_R50!Z104</f>
        <v>3.95711500775327</v>
      </c>
      <c r="BX29" s="180" t="n">
        <f aca="false">_Engine_R50!Z105</f>
        <v>3.91997282819167</v>
      </c>
      <c r="BY29" s="180" t="n">
        <f aca="false">_Engine_R50!Z106</f>
        <v>3.88320570443678</v>
      </c>
      <c r="BZ29" s="180" t="n">
        <f aca="false">_Engine_R50!Z107</f>
        <v>3.84680929256062</v>
      </c>
      <c r="CA29" s="180" t="n">
        <f aca="false">_Engine_R50!Z108</f>
        <v>3.81077930259271</v>
      </c>
      <c r="CB29" s="180" t="n">
        <f aca="false">_Engine_R50!Z109</f>
        <v>3.77511149782633</v>
      </c>
      <c r="CC29" s="180" t="n">
        <f aca="false">_Engine_R50!Z110</f>
        <v>3.73980169413385</v>
      </c>
      <c r="CD29" s="180" t="n">
        <f aca="false">_Engine_R50!Z111</f>
        <v>3.704845759291</v>
      </c>
      <c r="CE29" s="180" t="n">
        <f aca="false">_Engine_R50!Z112</f>
        <v>3.67023961231005</v>
      </c>
      <c r="CF29" s="180" t="n">
        <f aca="false">_Engine_R50!Z113</f>
        <v>3.63597922278161</v>
      </c>
      <c r="CG29" s="180" t="n">
        <f aca="false">_Engine_R50!Z114</f>
        <v>3.60206061022514</v>
      </c>
      <c r="CH29" s="181" t="n">
        <f aca="false">_Engine_R50!Z115</f>
        <v>3.5684798434479</v>
      </c>
      <c r="CI29" s="181" t="n">
        <f aca="false">_Engine_R50!Z116</f>
        <v>3.53523303991235</v>
      </c>
      <c r="CJ29" s="181" t="n">
        <f aca="false">_Engine_R50!Z117</f>
        <v>3.50231636511169</v>
      </c>
      <c r="CK29" s="181" t="n">
        <f aca="false">_Engine_R50!Z118</f>
        <v>3.46972603195375</v>
      </c>
      <c r="CL29" s="181" t="n">
        <f aca="false">_Engine_R50!Z119</f>
        <v>3.43745830015277</v>
      </c>
      <c r="CM29" s="181" t="n">
        <f aca="false">_Engine_R50!Z120</f>
        <v>3.40550947562923</v>
      </c>
      <c r="CN29" s="181" t="n">
        <f aca="false">_Engine_R50!Z121</f>
        <v>3.37387590991747</v>
      </c>
      <c r="CO29" s="181" t="n">
        <f aca="false">_Engine_R50!Z122</f>
        <v>3.34255399958113</v>
      </c>
      <c r="CP29" s="181" t="n">
        <f aca="false">_Engine_R50!Z123</f>
        <v>3.31154018563611</v>
      </c>
      <c r="CQ29" s="181" t="n">
        <f aca="false">_Engine_R50!Z124</f>
        <v>3.28083095298118</v>
      </c>
      <c r="CR29" s="181" t="n">
        <f aca="false">_Engine_R50!Z125</f>
        <v>3.25042282983595</v>
      </c>
      <c r="CS29" s="181" t="n">
        <f aca="false">_Engine_R50!Z126</f>
        <v>3.22031238718625</v>
      </c>
      <c r="CT29" s="180" t="n">
        <f aca="false">_Engine_R50!Z127</f>
        <v>3.19049623823669</v>
      </c>
      <c r="CU29" s="180" t="n">
        <f aca="false">_Engine_R50!Z128</f>
        <v>3.16097103787039</v>
      </c>
      <c r="CV29" s="180" t="n">
        <f aca="false">_Engine_R50!Z129</f>
        <v>3.1317334821158</v>
      </c>
      <c r="CW29" s="180" t="n">
        <f aca="false">_Engine_R50!Z130</f>
        <v>3.10278030762041</v>
      </c>
      <c r="CX29" s="180" t="n">
        <f aca="false">_Engine_R50!Z131</f>
        <v>3.07410829113142</v>
      </c>
      <c r="CY29" s="180" t="n">
        <f aca="false">_Engine_R50!Z132</f>
        <v>3.04571424898305</v>
      </c>
      <c r="CZ29" s="180" t="n">
        <f aca="false">_Engine_R50!Z133</f>
        <v>3.01759503659073</v>
      </c>
      <c r="DA29" s="180" t="n">
        <f aca="false">_Engine_R50!Z134</f>
        <v>2.9897475479517</v>
      </c>
      <c r="DB29" s="180" t="n">
        <f aca="false">_Engine_R50!Z135</f>
        <v>2.96216871515225</v>
      </c>
      <c r="DC29" s="180" t="n">
        <f aca="false">_Engine_R50!Z136</f>
        <v>2.93485550788131</v>
      </c>
      <c r="DD29" s="180" t="n">
        <f aca="false">_Engine_R50!Z137</f>
        <v>2.90780493295047</v>
      </c>
      <c r="DE29" s="180" t="n">
        <f aca="false">_Engine_R50!Z138</f>
        <v>2.88101403382015</v>
      </c>
      <c r="DF29" s="181" t="n">
        <f aca="false">_Engine_R50!Z139</f>
        <v>2.85447989013202</v>
      </c>
      <c r="DG29" s="181" t="n">
        <f aca="false">_Engine_R50!Z140</f>
        <v>2.82819961724751</v>
      </c>
      <c r="DH29" s="181" t="n">
        <f aca="false">_Engine_R50!Z141</f>
        <v>2.80217036579232</v>
      </c>
      <c r="DI29" s="181" t="n">
        <f aca="false">_Engine_R50!Z142</f>
        <v>2.77638932120682</v>
      </c>
      <c r="DJ29" s="181" t="n">
        <f aca="false">_Engine_R50!Z143</f>
        <v>2.7508537033024</v>
      </c>
      <c r="DK29" s="181" t="n">
        <f aca="false">_Engine_R50!Z144</f>
        <v>2.72556076582355</v>
      </c>
      <c r="DL29" s="181" t="n">
        <f aca="false">_Engine_R50!Z145</f>
        <v>2.7005077960156</v>
      </c>
      <c r="DM29" s="181" t="n">
        <f aca="false">_Engine_R50!Z146</f>
        <v>2.67569211419818</v>
      </c>
      <c r="DN29" s="181" t="n">
        <f aca="false">_Engine_R50!Z147</f>
        <v>2.65111107334415</v>
      </c>
      <c r="DO29" s="181" t="n">
        <f aca="false">_Engine_R50!Z148</f>
        <v>2.62676205866407</v>
      </c>
      <c r="DP29" s="181" t="n">
        <f aca="false">_Engine_R50!Z149</f>
        <v>2.60264248719604</v>
      </c>
      <c r="DQ29" s="181" t="n">
        <f aca="false">_Engine_R50!Z150</f>
        <v>2.57874980740089</v>
      </c>
      <c r="DR29" s="180" t="n">
        <f aca="false">_Engine_R50!Z151</f>
        <v>2.55508149876266</v>
      </c>
      <c r="DS29" s="180" t="n">
        <f aca="false">_Engine_R50!Z152</f>
        <v>2.53163507139422</v>
      </c>
      <c r="DT29" s="180" t="n">
        <f aca="false">_Engine_R50!Z153</f>
        <v>2.50840806564808</v>
      </c>
      <c r="DU29" s="180" t="n">
        <f aca="false">_Engine_R50!Z154</f>
        <v>2.48539805173224</v>
      </c>
      <c r="DV29" s="180" t="n">
        <f aca="false">_Engine_R50!Z155</f>
        <v>2.462602629331</v>
      </c>
      <c r="DW29" s="180" t="n">
        <f aca="false">_Engine_R50!Z156</f>
        <v>2.44001942723076</v>
      </c>
      <c r="DX29" s="180" t="n">
        <f aca="false">_Engine_R50!Z157</f>
        <v>2.41764610295064</v>
      </c>
      <c r="DY29" s="180" t="n">
        <f aca="false">_Engine_R50!Z158</f>
        <v>2.39548034237791</v>
      </c>
      <c r="DZ29" s="180" t="n">
        <f aca="false">_Engine_R50!Z159</f>
        <v>2.37351985940817</v>
      </c>
      <c r="EA29" s="180" t="n">
        <f aca="false">_Engine_R50!Z160</f>
        <v>2.35176239559017</v>
      </c>
      <c r="EB29" s="180" t="n">
        <f aca="false">_Engine_R50!Z161</f>
        <v>2.33020571977531</v>
      </c>
      <c r="EC29" s="180" t="n">
        <f aca="false">_Engine_R50!Z162</f>
        <v>2.30884762777161</v>
      </c>
      <c r="ED29" s="181" t="n">
        <f aca="false">_Engine_R50!Z163</f>
        <v>2.28768594200221</v>
      </c>
      <c r="EE29" s="181" t="n">
        <f aca="false">_Engine_R50!Z164</f>
        <v>2.26671851116835</v>
      </c>
      <c r="EF29" s="181" t="n">
        <f aca="false">_Engine_R50!Z165</f>
        <v>2.24594320991662</v>
      </c>
      <c r="EG29" s="181" t="n">
        <f aca="false">_Engine_R50!Z166</f>
        <v>2.22535793851063</v>
      </c>
      <c r="EH29" s="181" t="n">
        <f aca="false">_Engine_R50!Z167</f>
        <v>2.20496062250687</v>
      </c>
      <c r="EI29" s="181" t="n">
        <f aca="false">_Engine_R50!Z168</f>
        <v>2.18474921243482</v>
      </c>
      <c r="EJ29" s="181" t="n">
        <f aca="false">_Engine_R50!Z169</f>
        <v>2.16472168348117</v>
      </c>
      <c r="EK29" s="181" t="n">
        <f aca="false">_Engine_R50!Z170</f>
        <v>2.14487603517818</v>
      </c>
      <c r="EL29" s="181" t="n">
        <f aca="false">_Engine_R50!Z171</f>
        <v>2.12521029109602</v>
      </c>
      <c r="EM29" s="181" t="n">
        <f aca="false">_Engine_R50!Z172</f>
        <v>2.10572249853918</v>
      </c>
      <c r="EN29" s="181" t="n">
        <f aca="false">_Engine_R50!Z173</f>
        <v>2.08641072824671</v>
      </c>
      <c r="EO29" s="181" t="n">
        <f aca="false">_Engine_R50!Z174</f>
        <v>2.06727307409647</v>
      </c>
      <c r="EP29" s="180" t="n">
        <f aca="false">_Engine_R50!Z175</f>
        <v>2.04830765281307</v>
      </c>
      <c r="EQ29" s="180" t="n">
        <f aca="false">_Engine_R50!Z176</f>
        <v>2.02951260367972</v>
      </c>
      <c r="ER29" s="180" t="n">
        <f aca="false">_Engine_R50!Z177</f>
        <v>2.01088608825373</v>
      </c>
      <c r="ES29" s="180" t="n">
        <f aca="false">_Engine_R50!Z178</f>
        <v>1.99242629008575</v>
      </c>
      <c r="ET29" s="180" t="n">
        <f aca="false">_Engine_R50!Z179</f>
        <v>1.97413141444258</v>
      </c>
      <c r="EU29" s="180" t="n">
        <f aca="false">_Engine_R50!Z180</f>
        <v>1.95599968803361</v>
      </c>
      <c r="EV29" s="180" t="n">
        <f aca="false">_Engine_R50!Z181</f>
        <v>1.93802935874082</v>
      </c>
      <c r="EW29" s="180" t="n">
        <f aca="false">_Engine_R50!Z182</f>
        <v>1.92021869535223</v>
      </c>
      <c r="EX29" s="180" t="n">
        <f aca="false">_Engine_R50!Z183</f>
        <v>1.90256598729879</v>
      </c>
      <c r="EY29" s="180" t="n">
        <f aca="false">_Engine_R50!Z184</f>
        <v>1.88506954439475</v>
      </c>
      <c r="EZ29" s="180" t="n">
        <f aca="false">_Engine_R50!Z185</f>
        <v>1.86772769658127</v>
      </c>
      <c r="FA29" s="180" t="n">
        <f aca="false">_Engine_R50!Z186</f>
        <v>1.85053879367348</v>
      </c>
      <c r="FB29" s="181" t="n">
        <f aca="false">_Engine_R50!Z187</f>
        <v>1.83350120511067</v>
      </c>
      <c r="FC29" s="181" t="n">
        <f aca="false">_Engine_R50!Z188</f>
        <v>1.81661331970981</v>
      </c>
      <c r="FD29" s="181" t="n">
        <f aca="false">_Engine_R50!Z189</f>
        <v>1.79987354542222</v>
      </c>
      <c r="FE29" s="181" t="n">
        <f aca="false">_Engine_R50!Z190</f>
        <v>1.78328030909338</v>
      </c>
      <c r="FF29" s="181" t="n">
        <f aca="false">_Engine_R50!Z191</f>
        <v>1.76683205622583</v>
      </c>
      <c r="FG29" s="181" t="n">
        <f aca="false">_Engine_R50!Z192</f>
        <v>1.75052725074518</v>
      </c>
      <c r="FH29" s="181" t="n">
        <f aca="false">_Engine_R50!Z193</f>
        <v>1.73436437476906</v>
      </c>
      <c r="FI29" s="181" t="n">
        <f aca="false">_Engine_R50!Z194</f>
        <v>1.71834192837914</v>
      </c>
      <c r="FJ29" s="181" t="n">
        <f aca="false">_Engine_R50!Z195</f>
        <v>1.70245842939603</v>
      </c>
      <c r="FK29" s="181" t="n">
        <f aca="false">_Engine_R50!Z196</f>
        <v>1.68671241315713</v>
      </c>
      <c r="FL29" s="181" t="n">
        <f aca="false">_Engine_R50!Z197</f>
        <v>1.67110243229726</v>
      </c>
      <c r="FM29" s="181" t="n">
        <f aca="false">_Engine_R50!Z198</f>
        <v>1.65562705653224</v>
      </c>
      <c r="FN29" s="180" t="n">
        <f aca="false">_Engine_R50!Z199</f>
        <v>1.6402848724452</v>
      </c>
      <c r="FO29" s="180" t="n">
        <f aca="false">_Engine_R50!Z200</f>
        <v>1.62507448327557</v>
      </c>
      <c r="FP29" s="180" t="n">
        <f aca="false">_Engine_R50!Z201</f>
        <v>1.60999450871096</v>
      </c>
      <c r="FQ29" s="180" t="n">
        <f aca="false">_Engine_R50!Z202</f>
        <v>1.59504358468156</v>
      </c>
      <c r="FR29" s="180" t="n">
        <f aca="false">_Engine_R50!Z203</f>
        <v>1.58022036315725</v>
      </c>
      <c r="FS29" s="180" t="n">
        <f aca="false">_Engine_R50!Z204</f>
        <v>1.56552351194739</v>
      </c>
      <c r="FT29" s="180" t="n">
        <f aca="false">_Engine_R50!Z205</f>
        <v>1.55095171450304</v>
      </c>
      <c r="FU29" s="180" t="n">
        <f aca="false">_Engine_R50!Z206</f>
        <v>1.53650366972188</v>
      </c>
      <c r="FV29" s="180" t="n">
        <f aca="false">_Engine_R50!Z207</f>
        <v>1.52217809175551</v>
      </c>
      <c r="FW29" s="180" t="n">
        <f aca="false">_Engine_R50!Z208</f>
        <v>1.50797370981934</v>
      </c>
      <c r="FX29" s="180" t="n">
        <f aca="false">_Engine_R50!Z209</f>
        <v>1.49388926800485</v>
      </c>
      <c r="FY29" s="180" t="n">
        <f aca="false">_Engine_R50!Z210</f>
        <v>1.47992352509429</v>
      </c>
      <c r="FZ29" s="1"/>
    </row>
    <row r="30" customFormat="false" ht="15" hidden="false" customHeight="true" outlineLevel="0" collapsed="false">
      <c r="A30" s="18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77"/>
      <c r="CV30" s="177"/>
      <c r="CW30" s="177"/>
      <c r="CX30" s="177"/>
      <c r="CY30" s="177"/>
      <c r="CZ30" s="177"/>
      <c r="DA30" s="177"/>
      <c r="DB30" s="177"/>
      <c r="DC30" s="177"/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77"/>
      <c r="DR30" s="177"/>
      <c r="DS30" s="177"/>
      <c r="DT30" s="177"/>
      <c r="DU30" s="177"/>
      <c r="DV30" s="177"/>
      <c r="DW30" s="177"/>
      <c r="DX30" s="177"/>
      <c r="DY30" s="177"/>
      <c r="DZ30" s="177"/>
      <c r="EA30" s="177"/>
      <c r="EB30" s="177"/>
      <c r="EC30" s="177"/>
      <c r="ED30" s="177"/>
      <c r="EE30" s="177"/>
      <c r="EF30" s="177"/>
      <c r="EG30" s="177"/>
      <c r="EH30" s="177"/>
      <c r="EI30" s="177"/>
      <c r="EJ30" s="177"/>
      <c r="EK30" s="177"/>
      <c r="EL30" s="177"/>
      <c r="EM30" s="177"/>
      <c r="EN30" s="177"/>
      <c r="EO30" s="177"/>
      <c r="EP30" s="177"/>
      <c r="EQ30" s="177"/>
      <c r="ER30" s="177"/>
      <c r="ES30" s="177"/>
      <c r="ET30" s="177"/>
      <c r="EU30" s="177"/>
      <c r="EV30" s="177"/>
      <c r="EW30" s="177"/>
      <c r="EX30" s="177"/>
      <c r="EY30" s="177"/>
      <c r="EZ30" s="177"/>
      <c r="FA30" s="177"/>
      <c r="FB30" s="177"/>
      <c r="FC30" s="177"/>
      <c r="FD30" s="177"/>
      <c r="FE30" s="177"/>
      <c r="FF30" s="177"/>
      <c r="FG30" s="177"/>
      <c r="FH30" s="177"/>
      <c r="FI30" s="177"/>
      <c r="FJ30" s="177"/>
      <c r="FK30" s="177"/>
      <c r="FL30" s="177"/>
      <c r="FM30" s="177"/>
      <c r="FN30" s="177"/>
      <c r="FO30" s="177"/>
      <c r="FP30" s="177"/>
      <c r="FQ30" s="177"/>
      <c r="FR30" s="177"/>
      <c r="FS30" s="177"/>
      <c r="FT30" s="177"/>
      <c r="FU30" s="177"/>
      <c r="FV30" s="177"/>
      <c r="FW30" s="177"/>
      <c r="FX30" s="177"/>
      <c r="FY30" s="177"/>
      <c r="FZ30" s="1"/>
    </row>
    <row r="31" customFormat="false" ht="15" hidden="false" customHeight="true" outlineLevel="0" collapsed="false">
      <c r="A31" s="17" t="s">
        <v>248</v>
      </c>
      <c r="B31" s="170" t="n">
        <v>0.25</v>
      </c>
      <c r="C31" s="170" t="n">
        <v>0.25</v>
      </c>
      <c r="D31" s="170" t="n">
        <v>0.25</v>
      </c>
      <c r="E31" s="170" t="n">
        <v>0.25</v>
      </c>
      <c r="F31" s="170" t="n">
        <v>0.25</v>
      </c>
      <c r="G31" s="170" t="n">
        <v>0.25</v>
      </c>
      <c r="H31" s="170" t="n">
        <v>0.25</v>
      </c>
      <c r="I31" s="170" t="n">
        <v>0.25</v>
      </c>
      <c r="J31" s="170" t="n">
        <v>0.25</v>
      </c>
      <c r="K31" s="170" t="n">
        <v>0.25</v>
      </c>
      <c r="L31" s="170" t="n">
        <v>0.25</v>
      </c>
      <c r="M31" s="170" t="n">
        <v>0.25</v>
      </c>
      <c r="N31" s="46" t="n">
        <v>0</v>
      </c>
      <c r="O31" s="46" t="n">
        <v>0</v>
      </c>
      <c r="P31" s="46" t="n">
        <v>0</v>
      </c>
      <c r="Q31" s="46" t="n">
        <v>0</v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170" t="n">
        <v>0</v>
      </c>
      <c r="AA31" s="170" t="n">
        <v>0</v>
      </c>
      <c r="AB31" s="170" t="n">
        <v>0</v>
      </c>
      <c r="AC31" s="170" t="n">
        <v>0</v>
      </c>
      <c r="AD31" s="170" t="n">
        <v>0</v>
      </c>
      <c r="AE31" s="170" t="n">
        <v>0</v>
      </c>
      <c r="AF31" s="170" t="n">
        <v>0</v>
      </c>
      <c r="AG31" s="170" t="n">
        <v>0</v>
      </c>
      <c r="AH31" s="170" t="n">
        <v>0</v>
      </c>
      <c r="AI31" s="170" t="n">
        <v>0</v>
      </c>
      <c r="AJ31" s="170" t="n">
        <v>0</v>
      </c>
      <c r="AK31" s="170" t="n">
        <v>0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0</v>
      </c>
      <c r="AR31" s="46" t="n">
        <v>0</v>
      </c>
      <c r="AS31" s="46" t="n">
        <v>0</v>
      </c>
      <c r="AT31" s="46" t="n">
        <v>0</v>
      </c>
      <c r="AU31" s="46" t="n">
        <v>0</v>
      </c>
      <c r="AV31" s="46" t="n">
        <v>0</v>
      </c>
      <c r="AW31" s="46" t="n">
        <v>0</v>
      </c>
      <c r="AX31" s="170" t="n">
        <v>0</v>
      </c>
      <c r="AY31" s="170" t="n">
        <v>0</v>
      </c>
      <c r="AZ31" s="170" t="n">
        <v>0</v>
      </c>
      <c r="BA31" s="170" t="n">
        <v>0</v>
      </c>
      <c r="BB31" s="170" t="n">
        <v>0</v>
      </c>
      <c r="BC31" s="170" t="n">
        <v>0</v>
      </c>
      <c r="BD31" s="170" t="n">
        <v>0</v>
      </c>
      <c r="BE31" s="170" t="n">
        <v>0</v>
      </c>
      <c r="BF31" s="170" t="n">
        <v>0</v>
      </c>
      <c r="BG31" s="170" t="n">
        <v>0</v>
      </c>
      <c r="BH31" s="170" t="n">
        <v>0</v>
      </c>
      <c r="BI31" s="170" t="n">
        <v>0</v>
      </c>
      <c r="BJ31" s="46" t="n">
        <v>0</v>
      </c>
      <c r="BK31" s="46" t="n">
        <v>0</v>
      </c>
      <c r="BL31" s="46" t="n">
        <v>0</v>
      </c>
      <c r="BM31" s="46" t="n">
        <v>0</v>
      </c>
      <c r="BN31" s="46" t="n">
        <v>0</v>
      </c>
      <c r="BO31" s="46" t="n">
        <v>0</v>
      </c>
      <c r="BP31" s="46" t="n">
        <v>0</v>
      </c>
      <c r="BQ31" s="46" t="n">
        <v>0</v>
      </c>
      <c r="BR31" s="46" t="n">
        <v>0</v>
      </c>
      <c r="BS31" s="46" t="n">
        <v>0</v>
      </c>
      <c r="BT31" s="46" t="n">
        <v>0</v>
      </c>
      <c r="BU31" s="46" t="n">
        <v>0</v>
      </c>
      <c r="BV31" s="170" t="n">
        <v>0</v>
      </c>
      <c r="BW31" s="170" t="n">
        <v>0</v>
      </c>
      <c r="BX31" s="170" t="n">
        <v>0</v>
      </c>
      <c r="BY31" s="170" t="n">
        <v>0</v>
      </c>
      <c r="BZ31" s="170" t="n">
        <v>0</v>
      </c>
      <c r="CA31" s="170" t="n">
        <v>0</v>
      </c>
      <c r="CB31" s="170" t="n">
        <v>0</v>
      </c>
      <c r="CC31" s="170" t="n">
        <v>0</v>
      </c>
      <c r="CD31" s="170" t="n">
        <v>0</v>
      </c>
      <c r="CE31" s="170" t="n">
        <v>0</v>
      </c>
      <c r="CF31" s="170" t="n">
        <v>0</v>
      </c>
      <c r="CG31" s="170" t="n">
        <v>0</v>
      </c>
      <c r="CH31" s="46" t="n">
        <v>0</v>
      </c>
      <c r="CI31" s="46" t="n">
        <v>0</v>
      </c>
      <c r="CJ31" s="46" t="n">
        <v>0</v>
      </c>
      <c r="CK31" s="46" t="n">
        <v>0</v>
      </c>
      <c r="CL31" s="46" t="n">
        <v>0</v>
      </c>
      <c r="CM31" s="46" t="n">
        <v>0</v>
      </c>
      <c r="CN31" s="46" t="n">
        <v>0</v>
      </c>
      <c r="CO31" s="46" t="n">
        <v>0</v>
      </c>
      <c r="CP31" s="46" t="n">
        <v>0</v>
      </c>
      <c r="CQ31" s="46" t="n">
        <v>0</v>
      </c>
      <c r="CR31" s="46" t="n">
        <v>0</v>
      </c>
      <c r="CS31" s="46" t="n">
        <v>0</v>
      </c>
      <c r="CT31" s="170" t="n">
        <v>0</v>
      </c>
      <c r="CU31" s="170" t="n">
        <v>0</v>
      </c>
      <c r="CV31" s="170" t="n">
        <v>0</v>
      </c>
      <c r="CW31" s="170" t="n">
        <v>0</v>
      </c>
      <c r="CX31" s="170" t="n">
        <v>0</v>
      </c>
      <c r="CY31" s="170" t="n">
        <v>0</v>
      </c>
      <c r="CZ31" s="170" t="n">
        <v>0</v>
      </c>
      <c r="DA31" s="170" t="n">
        <v>0</v>
      </c>
      <c r="DB31" s="170" t="n">
        <v>0</v>
      </c>
      <c r="DC31" s="170" t="n">
        <v>0</v>
      </c>
      <c r="DD31" s="170" t="n">
        <v>0</v>
      </c>
      <c r="DE31" s="170" t="n">
        <v>0</v>
      </c>
      <c r="DF31" s="46" t="n">
        <v>0</v>
      </c>
      <c r="DG31" s="46" t="n">
        <v>0</v>
      </c>
      <c r="DH31" s="46" t="n">
        <v>0</v>
      </c>
      <c r="DI31" s="46" t="n">
        <v>0</v>
      </c>
      <c r="DJ31" s="46" t="n">
        <v>0</v>
      </c>
      <c r="DK31" s="46" t="n">
        <v>0</v>
      </c>
      <c r="DL31" s="46" t="n">
        <v>0</v>
      </c>
      <c r="DM31" s="46" t="n">
        <v>0</v>
      </c>
      <c r="DN31" s="46" t="n">
        <v>0</v>
      </c>
      <c r="DO31" s="46" t="n">
        <v>0</v>
      </c>
      <c r="DP31" s="46" t="n">
        <v>0</v>
      </c>
      <c r="DQ31" s="46" t="n">
        <v>0</v>
      </c>
      <c r="DR31" s="170" t="n">
        <v>0</v>
      </c>
      <c r="DS31" s="170" t="n">
        <v>0</v>
      </c>
      <c r="DT31" s="170" t="n">
        <v>0</v>
      </c>
      <c r="DU31" s="170" t="n">
        <v>0</v>
      </c>
      <c r="DV31" s="170" t="n">
        <v>0</v>
      </c>
      <c r="DW31" s="170" t="n">
        <v>0</v>
      </c>
      <c r="DX31" s="170" t="n">
        <v>0</v>
      </c>
      <c r="DY31" s="170" t="n">
        <v>0</v>
      </c>
      <c r="DZ31" s="170" t="n">
        <v>0</v>
      </c>
      <c r="EA31" s="170" t="n">
        <v>0</v>
      </c>
      <c r="EB31" s="170" t="n">
        <v>0</v>
      </c>
      <c r="EC31" s="170" t="n">
        <v>0</v>
      </c>
      <c r="ED31" s="46" t="n">
        <v>0</v>
      </c>
      <c r="EE31" s="46" t="n">
        <v>0</v>
      </c>
      <c r="EF31" s="46" t="n">
        <v>0</v>
      </c>
      <c r="EG31" s="46" t="n">
        <v>0</v>
      </c>
      <c r="EH31" s="46" t="n">
        <v>0</v>
      </c>
      <c r="EI31" s="46" t="n">
        <v>0</v>
      </c>
      <c r="EJ31" s="46" t="n">
        <v>0</v>
      </c>
      <c r="EK31" s="46" t="n">
        <v>0</v>
      </c>
      <c r="EL31" s="46" t="n">
        <v>0</v>
      </c>
      <c r="EM31" s="46" t="n">
        <v>0</v>
      </c>
      <c r="EN31" s="46" t="n">
        <v>0</v>
      </c>
      <c r="EO31" s="46" t="n">
        <v>0</v>
      </c>
      <c r="EP31" s="170" t="n">
        <v>0</v>
      </c>
      <c r="EQ31" s="170" t="n">
        <v>0</v>
      </c>
      <c r="ER31" s="170" t="n">
        <v>0</v>
      </c>
      <c r="ES31" s="170" t="n">
        <v>0</v>
      </c>
      <c r="ET31" s="170" t="n">
        <v>0</v>
      </c>
      <c r="EU31" s="170" t="n">
        <v>0</v>
      </c>
      <c r="EV31" s="170" t="n">
        <v>0</v>
      </c>
      <c r="EW31" s="170" t="n">
        <v>0</v>
      </c>
      <c r="EX31" s="170" t="n">
        <v>0</v>
      </c>
      <c r="EY31" s="170" t="n">
        <v>0</v>
      </c>
      <c r="EZ31" s="170" t="n">
        <v>0</v>
      </c>
      <c r="FA31" s="170" t="n">
        <v>0</v>
      </c>
      <c r="FB31" s="46" t="n">
        <v>0</v>
      </c>
      <c r="FC31" s="46" t="n">
        <v>0</v>
      </c>
      <c r="FD31" s="46" t="n">
        <v>0</v>
      </c>
      <c r="FE31" s="46" t="n">
        <v>0</v>
      </c>
      <c r="FF31" s="46" t="n">
        <v>0</v>
      </c>
      <c r="FG31" s="46" t="n">
        <v>0</v>
      </c>
      <c r="FH31" s="46" t="n">
        <v>0</v>
      </c>
      <c r="FI31" s="46" t="n">
        <v>0</v>
      </c>
      <c r="FJ31" s="46" t="n">
        <v>0</v>
      </c>
      <c r="FK31" s="46" t="n">
        <v>0</v>
      </c>
      <c r="FL31" s="46" t="n">
        <v>0</v>
      </c>
      <c r="FM31" s="46" t="n">
        <v>0</v>
      </c>
      <c r="FN31" s="170" t="n">
        <v>0</v>
      </c>
      <c r="FO31" s="170" t="n">
        <v>0</v>
      </c>
      <c r="FP31" s="170" t="n">
        <v>0</v>
      </c>
      <c r="FQ31" s="170" t="n">
        <v>0</v>
      </c>
      <c r="FR31" s="170" t="n">
        <v>0</v>
      </c>
      <c r="FS31" s="170" t="n">
        <v>0</v>
      </c>
      <c r="FT31" s="170" t="n">
        <v>0</v>
      </c>
      <c r="FU31" s="170" t="n">
        <v>0</v>
      </c>
      <c r="FV31" s="170" t="n">
        <v>0</v>
      </c>
      <c r="FW31" s="170" t="n">
        <v>0</v>
      </c>
      <c r="FX31" s="170" t="n">
        <v>0</v>
      </c>
      <c r="FY31" s="170" t="n">
        <v>0</v>
      </c>
      <c r="FZ31" s="1"/>
    </row>
    <row r="32" customFormat="false" ht="15" hidden="false" customHeight="true" outlineLevel="0" collapsed="false">
      <c r="A32" s="17" t="s">
        <v>434</v>
      </c>
      <c r="B32" s="170" t="n">
        <v>-0.1656</v>
      </c>
      <c r="C32" s="170" t="n">
        <v>-0.1656</v>
      </c>
      <c r="D32" s="170" t="n">
        <v>-0.1656</v>
      </c>
      <c r="E32" s="170" t="n">
        <v>-1.0328</v>
      </c>
      <c r="F32" s="170" t="n">
        <v>-0.1847</v>
      </c>
      <c r="G32" s="170" t="n">
        <v>-0.078</v>
      </c>
      <c r="H32" s="170" t="n">
        <v>-1.1042</v>
      </c>
      <c r="I32" s="170" t="n">
        <v>0.1416</v>
      </c>
      <c r="J32" s="170" t="n">
        <v>0.3531</v>
      </c>
      <c r="K32" s="170" t="n">
        <v>-0.3366</v>
      </c>
      <c r="L32" s="170" t="n">
        <v>0.7863</v>
      </c>
      <c r="M32" s="170" t="n">
        <v>0.2702</v>
      </c>
      <c r="N32" s="46" t="n">
        <v>1.3416</v>
      </c>
      <c r="O32" s="46" t="n">
        <v>1.6048</v>
      </c>
      <c r="P32" s="46" t="n">
        <v>1.8606</v>
      </c>
      <c r="Q32" s="46" t="n">
        <v>1.3662</v>
      </c>
      <c r="R32" s="46" t="n">
        <v>2.3372</v>
      </c>
      <c r="S32" s="46" t="n">
        <v>2.5684</v>
      </c>
      <c r="T32" s="46" t="n">
        <v>2.7174</v>
      </c>
      <c r="U32" s="46" t="n">
        <v>2.8357</v>
      </c>
      <c r="V32" s="46" t="n">
        <v>2.9503</v>
      </c>
      <c r="W32" s="46" t="n">
        <v>3.0612</v>
      </c>
      <c r="X32" s="46" t="n">
        <v>3.0657</v>
      </c>
      <c r="Y32" s="46" t="n">
        <v>2.3771</v>
      </c>
      <c r="Z32" s="170" t="n">
        <v>3.1503</v>
      </c>
      <c r="AA32" s="170" t="n">
        <v>3.2283</v>
      </c>
      <c r="AB32" s="170" t="n">
        <v>3.3035</v>
      </c>
      <c r="AC32" s="170" t="n">
        <v>3.3761</v>
      </c>
      <c r="AD32" s="170" t="n">
        <v>3.4216</v>
      </c>
      <c r="AE32" s="170" t="n">
        <v>2.7728</v>
      </c>
      <c r="AF32" s="170" t="n">
        <v>3.5399</v>
      </c>
      <c r="AG32" s="170" t="n">
        <v>3.612</v>
      </c>
      <c r="AH32" s="170" t="n">
        <v>3.6813</v>
      </c>
      <c r="AI32" s="170" t="n">
        <v>3.7481</v>
      </c>
      <c r="AJ32" s="170" t="n">
        <v>3.8123</v>
      </c>
      <c r="AK32" s="170" t="n">
        <v>3.1816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s="46" t="n">
        <v>0</v>
      </c>
      <c r="AS32" s="46" t="n">
        <v>0</v>
      </c>
      <c r="AT32" s="46" t="n">
        <v>0</v>
      </c>
      <c r="AU32" s="46" t="n">
        <v>0</v>
      </c>
      <c r="AV32" s="46" t="n">
        <v>0</v>
      </c>
      <c r="AW32" s="46" t="n">
        <v>0</v>
      </c>
      <c r="AX32" s="170" t="n">
        <v>0</v>
      </c>
      <c r="AY32" s="170" t="n">
        <v>0</v>
      </c>
      <c r="AZ32" s="170" t="n">
        <v>0</v>
      </c>
      <c r="BA32" s="170" t="n">
        <v>0</v>
      </c>
      <c r="BB32" s="170" t="n">
        <v>0</v>
      </c>
      <c r="BC32" s="170" t="n">
        <v>0</v>
      </c>
      <c r="BD32" s="170" t="n">
        <v>0</v>
      </c>
      <c r="BE32" s="170" t="n">
        <v>0</v>
      </c>
      <c r="BF32" s="170" t="n">
        <v>0</v>
      </c>
      <c r="BG32" s="170" t="n">
        <v>0</v>
      </c>
      <c r="BH32" s="170" t="n">
        <v>0</v>
      </c>
      <c r="BI32" s="170" t="n">
        <v>0</v>
      </c>
      <c r="BJ32" s="46" t="n">
        <v>0</v>
      </c>
      <c r="BK32" s="46" t="n">
        <v>0</v>
      </c>
      <c r="BL32" s="46" t="n">
        <v>0</v>
      </c>
      <c r="BM32" s="46" t="n">
        <v>0</v>
      </c>
      <c r="BN32" s="46" t="n">
        <v>0</v>
      </c>
      <c r="BO32" s="46" t="n">
        <v>0</v>
      </c>
      <c r="BP32" s="46" t="n">
        <v>0</v>
      </c>
      <c r="BQ32" s="46" t="n">
        <v>0</v>
      </c>
      <c r="BR32" s="46" t="n">
        <v>0</v>
      </c>
      <c r="BS32" s="46" t="n">
        <v>0</v>
      </c>
      <c r="BT32" s="46" t="n">
        <v>0</v>
      </c>
      <c r="BU32" s="46" t="n">
        <v>0</v>
      </c>
      <c r="BV32" s="170" t="n">
        <v>0</v>
      </c>
      <c r="BW32" s="170" t="n">
        <v>0</v>
      </c>
      <c r="BX32" s="170" t="n">
        <v>0</v>
      </c>
      <c r="BY32" s="170" t="n">
        <v>0</v>
      </c>
      <c r="BZ32" s="170" t="n">
        <v>0</v>
      </c>
      <c r="CA32" s="170" t="n">
        <v>0</v>
      </c>
      <c r="CB32" s="170" t="n">
        <v>0</v>
      </c>
      <c r="CC32" s="170" t="n">
        <v>0</v>
      </c>
      <c r="CD32" s="170" t="n">
        <v>0</v>
      </c>
      <c r="CE32" s="170" t="n">
        <v>0</v>
      </c>
      <c r="CF32" s="170" t="n">
        <v>0</v>
      </c>
      <c r="CG32" s="170" t="n">
        <v>0</v>
      </c>
      <c r="CH32" s="46" t="n">
        <v>0</v>
      </c>
      <c r="CI32" s="46" t="n">
        <v>0</v>
      </c>
      <c r="CJ32" s="46" t="n">
        <v>0</v>
      </c>
      <c r="CK32" s="46" t="n">
        <v>0</v>
      </c>
      <c r="CL32" s="46" t="n">
        <v>0</v>
      </c>
      <c r="CM32" s="46" t="n">
        <v>0</v>
      </c>
      <c r="CN32" s="46" t="n">
        <v>0</v>
      </c>
      <c r="CO32" s="46" t="n">
        <v>0</v>
      </c>
      <c r="CP32" s="46" t="n">
        <v>0</v>
      </c>
      <c r="CQ32" s="46" t="n">
        <v>0</v>
      </c>
      <c r="CR32" s="46" t="n">
        <v>0</v>
      </c>
      <c r="CS32" s="46" t="n">
        <v>0</v>
      </c>
      <c r="CT32" s="170" t="n">
        <v>0</v>
      </c>
      <c r="CU32" s="170" t="n">
        <v>0</v>
      </c>
      <c r="CV32" s="170" t="n">
        <v>0</v>
      </c>
      <c r="CW32" s="170" t="n">
        <v>0</v>
      </c>
      <c r="CX32" s="170" t="n">
        <v>0</v>
      </c>
      <c r="CY32" s="170" t="n">
        <v>0</v>
      </c>
      <c r="CZ32" s="170" t="n">
        <v>0</v>
      </c>
      <c r="DA32" s="170" t="n">
        <v>0</v>
      </c>
      <c r="DB32" s="170" t="n">
        <v>0</v>
      </c>
      <c r="DC32" s="170" t="n">
        <v>0</v>
      </c>
      <c r="DD32" s="170" t="n">
        <v>0</v>
      </c>
      <c r="DE32" s="170" t="n">
        <v>0</v>
      </c>
      <c r="DF32" s="46" t="n">
        <v>0</v>
      </c>
      <c r="DG32" s="46" t="n">
        <v>0</v>
      </c>
      <c r="DH32" s="46" t="n">
        <v>0</v>
      </c>
      <c r="DI32" s="46" t="n">
        <v>0</v>
      </c>
      <c r="DJ32" s="46" t="n">
        <v>0</v>
      </c>
      <c r="DK32" s="46" t="n">
        <v>0</v>
      </c>
      <c r="DL32" s="46" t="n">
        <v>0</v>
      </c>
      <c r="DM32" s="46" t="n">
        <v>0</v>
      </c>
      <c r="DN32" s="46" t="n">
        <v>0</v>
      </c>
      <c r="DO32" s="46" t="n">
        <v>0</v>
      </c>
      <c r="DP32" s="46" t="n">
        <v>0</v>
      </c>
      <c r="DQ32" s="46" t="n">
        <v>0</v>
      </c>
      <c r="DR32" s="170" t="n">
        <v>0</v>
      </c>
      <c r="DS32" s="170" t="n">
        <v>0</v>
      </c>
      <c r="DT32" s="170" t="n">
        <v>0</v>
      </c>
      <c r="DU32" s="170" t="n">
        <v>0</v>
      </c>
      <c r="DV32" s="170" t="n">
        <v>0</v>
      </c>
      <c r="DW32" s="170" t="n">
        <v>0</v>
      </c>
      <c r="DX32" s="170" t="n">
        <v>0</v>
      </c>
      <c r="DY32" s="170" t="n">
        <v>0</v>
      </c>
      <c r="DZ32" s="170" t="n">
        <v>0</v>
      </c>
      <c r="EA32" s="170" t="n">
        <v>0</v>
      </c>
      <c r="EB32" s="170" t="n">
        <v>0</v>
      </c>
      <c r="EC32" s="170" t="n">
        <v>0</v>
      </c>
      <c r="ED32" s="46" t="n">
        <v>0</v>
      </c>
      <c r="EE32" s="46" t="n">
        <v>0</v>
      </c>
      <c r="EF32" s="46" t="n">
        <v>0</v>
      </c>
      <c r="EG32" s="46" t="n">
        <v>0</v>
      </c>
      <c r="EH32" s="46" t="n">
        <v>0</v>
      </c>
      <c r="EI32" s="46" t="n">
        <v>0</v>
      </c>
      <c r="EJ32" s="46" t="n">
        <v>0</v>
      </c>
      <c r="EK32" s="46" t="n">
        <v>0</v>
      </c>
      <c r="EL32" s="46" t="n">
        <v>0</v>
      </c>
      <c r="EM32" s="46" t="n">
        <v>0</v>
      </c>
      <c r="EN32" s="46" t="n">
        <v>0</v>
      </c>
      <c r="EO32" s="46" t="n">
        <v>0</v>
      </c>
      <c r="EP32" s="170" t="n">
        <v>0</v>
      </c>
      <c r="EQ32" s="170" t="n">
        <v>0</v>
      </c>
      <c r="ER32" s="170" t="n">
        <v>0</v>
      </c>
      <c r="ES32" s="170" t="n">
        <v>0</v>
      </c>
      <c r="ET32" s="170" t="n">
        <v>0</v>
      </c>
      <c r="EU32" s="170" t="n">
        <v>0</v>
      </c>
      <c r="EV32" s="170" t="n">
        <v>0</v>
      </c>
      <c r="EW32" s="170" t="n">
        <v>0</v>
      </c>
      <c r="EX32" s="170" t="n">
        <v>0</v>
      </c>
      <c r="EY32" s="170" t="n">
        <v>0</v>
      </c>
      <c r="EZ32" s="170" t="n">
        <v>0</v>
      </c>
      <c r="FA32" s="170" t="n">
        <v>0</v>
      </c>
      <c r="FB32" s="46" t="n">
        <v>0</v>
      </c>
      <c r="FC32" s="46" t="n">
        <v>0</v>
      </c>
      <c r="FD32" s="46" t="n">
        <v>0</v>
      </c>
      <c r="FE32" s="46" t="n">
        <v>0</v>
      </c>
      <c r="FF32" s="46" t="n">
        <v>0</v>
      </c>
      <c r="FG32" s="46" t="n">
        <v>0</v>
      </c>
      <c r="FH32" s="46" t="n">
        <v>0</v>
      </c>
      <c r="FI32" s="46" t="n">
        <v>0</v>
      </c>
      <c r="FJ32" s="46" t="n">
        <v>0</v>
      </c>
      <c r="FK32" s="46" t="n">
        <v>0</v>
      </c>
      <c r="FL32" s="46" t="n">
        <v>0</v>
      </c>
      <c r="FM32" s="46" t="n">
        <v>0</v>
      </c>
      <c r="FN32" s="170" t="n">
        <v>0</v>
      </c>
      <c r="FO32" s="170" t="n">
        <v>0</v>
      </c>
      <c r="FP32" s="170" t="n">
        <v>0</v>
      </c>
      <c r="FQ32" s="170" t="n">
        <v>0</v>
      </c>
      <c r="FR32" s="170" t="n">
        <v>0</v>
      </c>
      <c r="FS32" s="170" t="n">
        <v>0</v>
      </c>
      <c r="FT32" s="170" t="n">
        <v>0</v>
      </c>
      <c r="FU32" s="170" t="n">
        <v>0</v>
      </c>
      <c r="FV32" s="170" t="n">
        <v>0</v>
      </c>
      <c r="FW32" s="170" t="n">
        <v>0</v>
      </c>
      <c r="FX32" s="170" t="n">
        <v>0</v>
      </c>
      <c r="FY32" s="170" t="n">
        <v>0</v>
      </c>
      <c r="FZ32" s="1"/>
    </row>
    <row r="33" customFormat="false" ht="15" hidden="false" customHeight="true" outlineLevel="0" collapsed="false">
      <c r="A33" s="18" t="s">
        <v>250</v>
      </c>
      <c r="B33" s="172" t="n">
        <v>-0.1656</v>
      </c>
      <c r="C33" s="172" t="n">
        <v>-0.1656</v>
      </c>
      <c r="D33" s="172" t="n">
        <v>-0.1656</v>
      </c>
      <c r="E33" s="172" t="n">
        <v>-1.0328</v>
      </c>
      <c r="F33" s="172" t="n">
        <v>-0.1847</v>
      </c>
      <c r="G33" s="172" t="n">
        <v>-0.078</v>
      </c>
      <c r="H33" s="172" t="n">
        <v>-1.1042</v>
      </c>
      <c r="I33" s="172" t="n">
        <v>0.1416</v>
      </c>
      <c r="J33" s="172" t="n">
        <v>0.3531</v>
      </c>
      <c r="K33" s="172" t="n">
        <v>-0.3366</v>
      </c>
      <c r="L33" s="172" t="n">
        <v>0.7863</v>
      </c>
      <c r="M33" s="172" t="n">
        <v>0.2702</v>
      </c>
      <c r="N33" s="173" t="n">
        <v>1.3416</v>
      </c>
      <c r="O33" s="173" t="n">
        <v>1.6048</v>
      </c>
      <c r="P33" s="173" t="n">
        <v>1.8606</v>
      </c>
      <c r="Q33" s="173" t="n">
        <v>1.3662</v>
      </c>
      <c r="R33" s="173" t="n">
        <v>2.3372</v>
      </c>
      <c r="S33" s="173" t="n">
        <v>2.5684</v>
      </c>
      <c r="T33" s="173" t="n">
        <v>2.7174</v>
      </c>
      <c r="U33" s="173" t="n">
        <v>2.8357</v>
      </c>
      <c r="V33" s="173" t="n">
        <v>2.9503</v>
      </c>
      <c r="W33" s="173" t="n">
        <v>3.0612</v>
      </c>
      <c r="X33" s="173" t="n">
        <v>3.0657</v>
      </c>
      <c r="Y33" s="173" t="n">
        <v>2.3771</v>
      </c>
      <c r="Z33" s="172" t="n">
        <v>3.1503</v>
      </c>
      <c r="AA33" s="172" t="n">
        <v>3.2283</v>
      </c>
      <c r="AB33" s="172" t="n">
        <v>3.3035</v>
      </c>
      <c r="AC33" s="172" t="n">
        <v>3.3761</v>
      </c>
      <c r="AD33" s="172" t="n">
        <v>3.4216</v>
      </c>
      <c r="AE33" s="172" t="n">
        <v>2.7728</v>
      </c>
      <c r="AF33" s="172" t="n">
        <v>3.5399</v>
      </c>
      <c r="AG33" s="172" t="n">
        <v>3.612</v>
      </c>
      <c r="AH33" s="172" t="n">
        <v>3.6813</v>
      </c>
      <c r="AI33" s="172" t="n">
        <v>3.7481</v>
      </c>
      <c r="AJ33" s="172" t="n">
        <v>3.8123</v>
      </c>
      <c r="AK33" s="172" t="n">
        <v>3.1816</v>
      </c>
      <c r="AL33" s="173" t="n">
        <v>7.8864</v>
      </c>
      <c r="AM33" s="173" t="n">
        <v>8.0196</v>
      </c>
      <c r="AN33" s="173" t="n">
        <v>8.1476</v>
      </c>
      <c r="AO33" s="173" t="n">
        <v>8.2706</v>
      </c>
      <c r="AP33" s="173" t="n">
        <v>8.3885</v>
      </c>
      <c r="AQ33" s="173" t="n">
        <v>8.5017</v>
      </c>
      <c r="AR33" s="173" t="n">
        <v>8.4245</v>
      </c>
      <c r="AS33" s="173" t="n">
        <v>8.3477</v>
      </c>
      <c r="AT33" s="173" t="n">
        <v>8.2712</v>
      </c>
      <c r="AU33" s="173" t="n">
        <v>8.1952</v>
      </c>
      <c r="AV33" s="173" t="n">
        <v>8.1195</v>
      </c>
      <c r="AW33" s="173" t="n">
        <v>1.5668</v>
      </c>
      <c r="AX33" s="172" t="n">
        <v>7.9231</v>
      </c>
      <c r="AY33" s="172" t="n">
        <v>7.8037</v>
      </c>
      <c r="AZ33" s="172" t="n">
        <v>7.6859</v>
      </c>
      <c r="BA33" s="172" t="n">
        <v>7.5696</v>
      </c>
      <c r="BB33" s="172" t="n">
        <v>7.455</v>
      </c>
      <c r="BC33" s="172" t="n">
        <v>7.3418</v>
      </c>
      <c r="BD33" s="172" t="n">
        <v>7.2302</v>
      </c>
      <c r="BE33" s="172" t="n">
        <v>7.1201</v>
      </c>
      <c r="BF33" s="172" t="n">
        <v>7.0115</v>
      </c>
      <c r="BG33" s="172" t="n">
        <v>6.9043</v>
      </c>
      <c r="BH33" s="172" t="n">
        <v>6.7986</v>
      </c>
      <c r="BI33" s="172" t="n">
        <v>-2.5255</v>
      </c>
      <c r="BJ33" s="173" t="n">
        <v>6.5914</v>
      </c>
      <c r="BK33" s="173" t="n">
        <v>6.4899</v>
      </c>
      <c r="BL33" s="173" t="n">
        <v>6.3898</v>
      </c>
      <c r="BM33" s="173" t="n">
        <v>6.291</v>
      </c>
      <c r="BN33" s="173" t="n">
        <v>6.1935</v>
      </c>
      <c r="BO33" s="173" t="n">
        <v>6.0974</v>
      </c>
      <c r="BP33" s="173" t="n">
        <v>6.0025</v>
      </c>
      <c r="BQ33" s="173" t="n">
        <v>5.9089</v>
      </c>
      <c r="BR33" s="173" t="n">
        <v>5.8166</v>
      </c>
      <c r="BS33" s="173" t="n">
        <v>5.7255</v>
      </c>
      <c r="BT33" s="173" t="n">
        <v>5.6356</v>
      </c>
      <c r="BU33" s="173" t="n">
        <v>-0.5714</v>
      </c>
      <c r="BV33" s="172" t="n">
        <v>5.4595</v>
      </c>
      <c r="BW33" s="172" t="n">
        <v>5.3732</v>
      </c>
      <c r="BX33" s="172" t="n">
        <v>5.2881</v>
      </c>
      <c r="BY33" s="172" t="n">
        <v>5.2041</v>
      </c>
      <c r="BZ33" s="172" t="n">
        <v>5.1213</v>
      </c>
      <c r="CA33" s="172" t="n">
        <v>5.0395</v>
      </c>
      <c r="CB33" s="172" t="n">
        <v>4.9589</v>
      </c>
      <c r="CC33" s="172" t="n">
        <v>4.8794</v>
      </c>
      <c r="CD33" s="172" t="n">
        <v>4.8009</v>
      </c>
      <c r="CE33" s="172" t="n">
        <v>4.7235</v>
      </c>
      <c r="CF33" s="172" t="n">
        <v>4.6471</v>
      </c>
      <c r="CG33" s="172" t="n">
        <v>1.0895</v>
      </c>
      <c r="CH33" s="173" t="n">
        <v>4.4974</v>
      </c>
      <c r="CI33" s="173" t="n">
        <v>4.424</v>
      </c>
      <c r="CJ33" s="173" t="n">
        <v>4.3517</v>
      </c>
      <c r="CK33" s="173" t="n">
        <v>4.2803</v>
      </c>
      <c r="CL33" s="173" t="n">
        <v>4.2099</v>
      </c>
      <c r="CM33" s="173" t="n">
        <v>4.1404</v>
      </c>
      <c r="CN33" s="173" t="n">
        <v>4.0719</v>
      </c>
      <c r="CO33" s="173" t="n">
        <v>4.0043</v>
      </c>
      <c r="CP33" s="173" t="n">
        <v>3.9375</v>
      </c>
      <c r="CQ33" s="173" t="n">
        <v>3.8717</v>
      </c>
      <c r="CR33" s="173" t="n">
        <v>3.8068</v>
      </c>
      <c r="CS33" s="173" t="n">
        <v>2.5013</v>
      </c>
      <c r="CT33" s="172" t="n">
        <v>3.6796</v>
      </c>
      <c r="CU33" s="172" t="n">
        <v>3.6172</v>
      </c>
      <c r="CV33" s="172" t="n">
        <v>3.5557</v>
      </c>
      <c r="CW33" s="172" t="n">
        <v>3.4951</v>
      </c>
      <c r="CX33" s="172" t="n">
        <v>3.4352</v>
      </c>
      <c r="CY33" s="172" t="n">
        <v>3.3761</v>
      </c>
      <c r="CZ33" s="172" t="n">
        <v>3.3179</v>
      </c>
      <c r="DA33" s="172" t="n">
        <v>3.2604</v>
      </c>
      <c r="DB33" s="172" t="n">
        <v>3.2037</v>
      </c>
      <c r="DC33" s="172" t="n">
        <v>3.1478</v>
      </c>
      <c r="DD33" s="172" t="n">
        <v>3.0926</v>
      </c>
      <c r="DE33" s="172" t="n">
        <v>3.0381</v>
      </c>
      <c r="DF33" s="173" t="n">
        <v>2.9844</v>
      </c>
      <c r="DG33" s="173" t="n">
        <v>2.9314</v>
      </c>
      <c r="DH33" s="173" t="n">
        <v>2.8792</v>
      </c>
      <c r="DI33" s="173" t="n">
        <v>2.8276</v>
      </c>
      <c r="DJ33" s="173" t="n">
        <v>2.7767</v>
      </c>
      <c r="DK33" s="173" t="n">
        <v>2.7265</v>
      </c>
      <c r="DL33" s="173" t="n">
        <v>2.677</v>
      </c>
      <c r="DM33" s="173" t="n">
        <v>2.6281</v>
      </c>
      <c r="DN33" s="173" t="n">
        <v>2.58</v>
      </c>
      <c r="DO33" s="173" t="n">
        <v>2.5324</v>
      </c>
      <c r="DP33" s="173" t="n">
        <v>2.4855</v>
      </c>
      <c r="DQ33" s="173" t="n">
        <v>2.4392</v>
      </c>
      <c r="DR33" s="172" t="n">
        <v>2.3936</v>
      </c>
      <c r="DS33" s="172" t="n">
        <v>2.3485</v>
      </c>
      <c r="DT33" s="172" t="n">
        <v>2.3041</v>
      </c>
      <c r="DU33" s="172" t="n">
        <v>2.2603</v>
      </c>
      <c r="DV33" s="172" t="n">
        <v>2.217</v>
      </c>
      <c r="DW33" s="172" t="n">
        <v>2.1743</v>
      </c>
      <c r="DX33" s="172" t="n">
        <v>2.1322</v>
      </c>
      <c r="DY33" s="172" t="n">
        <v>2.0907</v>
      </c>
      <c r="DZ33" s="172" t="n">
        <v>2.0498</v>
      </c>
      <c r="EA33" s="172" t="n">
        <v>2.0093</v>
      </c>
      <c r="EB33" s="172" t="n">
        <v>1.9695</v>
      </c>
      <c r="EC33" s="172" t="n">
        <v>1.9301</v>
      </c>
      <c r="ED33" s="173" t="n">
        <v>1.8913</v>
      </c>
      <c r="EE33" s="173" t="n">
        <v>1.853</v>
      </c>
      <c r="EF33" s="173" t="n">
        <v>1.8153</v>
      </c>
      <c r="EG33" s="173" t="n">
        <v>1.778</v>
      </c>
      <c r="EH33" s="173" t="n">
        <v>1.7413</v>
      </c>
      <c r="EI33" s="173" t="n">
        <v>1.705</v>
      </c>
      <c r="EJ33" s="173" t="n">
        <v>1.6692</v>
      </c>
      <c r="EK33" s="173" t="n">
        <v>1.6339</v>
      </c>
      <c r="EL33" s="173" t="n">
        <v>1.5991</v>
      </c>
      <c r="EM33" s="173" t="n">
        <v>1.5647</v>
      </c>
      <c r="EN33" s="173" t="n">
        <v>1.5308</v>
      </c>
      <c r="EO33" s="173" t="n">
        <v>1.4974</v>
      </c>
      <c r="EP33" s="172" t="n">
        <v>1.4644</v>
      </c>
      <c r="EQ33" s="172" t="n">
        <v>1.4319</v>
      </c>
      <c r="ER33" s="172" t="n">
        <v>1.3998</v>
      </c>
      <c r="ES33" s="172" t="n">
        <v>1.3681</v>
      </c>
      <c r="ET33" s="172" t="n">
        <v>1.3369</v>
      </c>
      <c r="EU33" s="172" t="n">
        <v>1.306</v>
      </c>
      <c r="EV33" s="172" t="n">
        <v>1.2756</v>
      </c>
      <c r="EW33" s="172" t="n">
        <v>1.2456</v>
      </c>
      <c r="EX33" s="172" t="n">
        <v>1.216</v>
      </c>
      <c r="EY33" s="172" t="n">
        <v>1.1868</v>
      </c>
      <c r="EZ33" s="172" t="n">
        <v>1.158</v>
      </c>
      <c r="FA33" s="172" t="n">
        <v>1.1296</v>
      </c>
      <c r="FB33" s="173" t="n">
        <v>1.1016</v>
      </c>
      <c r="FC33" s="173" t="n">
        <v>1.0739</v>
      </c>
      <c r="FD33" s="173" t="n">
        <v>1.0466</v>
      </c>
      <c r="FE33" s="173" t="n">
        <v>1.0197</v>
      </c>
      <c r="FF33" s="173" t="n">
        <v>0.9931</v>
      </c>
      <c r="FG33" s="173" t="n">
        <v>0.9669</v>
      </c>
      <c r="FH33" s="173" t="n">
        <v>0.9411</v>
      </c>
      <c r="FI33" s="173" t="n">
        <v>0.9156</v>
      </c>
      <c r="FJ33" s="173" t="n">
        <v>0.8904</v>
      </c>
      <c r="FK33" s="173" t="n">
        <v>0.8656</v>
      </c>
      <c r="FL33" s="173" t="n">
        <v>0.8411</v>
      </c>
      <c r="FM33" s="173" t="n">
        <v>0.817</v>
      </c>
      <c r="FN33" s="172" t="n">
        <v>0.7931</v>
      </c>
      <c r="FO33" s="172" t="n">
        <v>0.7696</v>
      </c>
      <c r="FP33" s="172" t="n">
        <v>0.7464</v>
      </c>
      <c r="FQ33" s="172" t="n">
        <v>0.7235</v>
      </c>
      <c r="FR33" s="172" t="n">
        <v>0.701</v>
      </c>
      <c r="FS33" s="172" t="n">
        <v>0.6787</v>
      </c>
      <c r="FT33" s="172" t="n">
        <v>0.6567</v>
      </c>
      <c r="FU33" s="172" t="n">
        <v>0.635</v>
      </c>
      <c r="FV33" s="172" t="n">
        <v>0.6137</v>
      </c>
      <c r="FW33" s="172" t="n">
        <v>0.5926</v>
      </c>
      <c r="FX33" s="172" t="n">
        <v>0.5717</v>
      </c>
      <c r="FY33" s="172" t="n">
        <v>0.5512</v>
      </c>
      <c r="FZ33" s="1"/>
    </row>
    <row r="34" customFormat="false" ht="15" hidden="false" customHeight="true" outlineLevel="0" collapsed="false">
      <c r="A34" s="17" t="s">
        <v>251</v>
      </c>
      <c r="B34" s="170" t="n">
        <v>-0.1656</v>
      </c>
      <c r="C34" s="170" t="n">
        <v>-0.3312</v>
      </c>
      <c r="D34" s="170" t="n">
        <v>-0.4969</v>
      </c>
      <c r="E34" s="170" t="n">
        <v>-1.5297</v>
      </c>
      <c r="F34" s="170" t="n">
        <v>-1.7144</v>
      </c>
      <c r="G34" s="170" t="n">
        <v>-1.7923</v>
      </c>
      <c r="H34" s="170" t="n">
        <v>-2.8966</v>
      </c>
      <c r="I34" s="170" t="n">
        <v>-2.7549</v>
      </c>
      <c r="J34" s="170" t="n">
        <v>-2.4018</v>
      </c>
      <c r="K34" s="170" t="n">
        <v>-2.7384</v>
      </c>
      <c r="L34" s="170" t="n">
        <v>-1.9521</v>
      </c>
      <c r="M34" s="170" t="n">
        <v>-1.6818</v>
      </c>
      <c r="N34" s="46" t="n">
        <v>-0.3403</v>
      </c>
      <c r="O34" s="46" t="n">
        <v>1.2645</v>
      </c>
      <c r="P34" s="46" t="n">
        <v>3.1252</v>
      </c>
      <c r="Q34" s="46" t="n">
        <v>4.4914</v>
      </c>
      <c r="R34" s="46" t="n">
        <v>6.8285</v>
      </c>
      <c r="S34" s="46" t="n">
        <v>9.397</v>
      </c>
      <c r="T34" s="46" t="n">
        <v>12.1144</v>
      </c>
      <c r="U34" s="46" t="n">
        <v>14.9502</v>
      </c>
      <c r="V34" s="46" t="n">
        <v>17.9004</v>
      </c>
      <c r="W34" s="46" t="n">
        <v>20.9616</v>
      </c>
      <c r="X34" s="46" t="n">
        <v>24.0273</v>
      </c>
      <c r="Y34" s="46" t="n">
        <v>26.4044</v>
      </c>
      <c r="Z34" s="170" t="n">
        <v>29.5547</v>
      </c>
      <c r="AA34" s="170" t="n">
        <v>32.783</v>
      </c>
      <c r="AB34" s="170" t="n">
        <v>36.0865</v>
      </c>
      <c r="AC34" s="170" t="n">
        <v>39.4626</v>
      </c>
      <c r="AD34" s="170" t="n">
        <v>42.8842</v>
      </c>
      <c r="AE34" s="170" t="n">
        <v>45.657</v>
      </c>
      <c r="AF34" s="170" t="n">
        <v>49.1969</v>
      </c>
      <c r="AG34" s="170" t="n">
        <v>52.8089</v>
      </c>
      <c r="AH34" s="170" t="n">
        <v>56.4902</v>
      </c>
      <c r="AI34" s="170" t="n">
        <v>60.2383</v>
      </c>
      <c r="AJ34" s="170" t="n">
        <v>64.0505</v>
      </c>
      <c r="AK34" s="170" t="n">
        <v>67.2321</v>
      </c>
      <c r="AL34" s="46" t="n">
        <v>75.1185</v>
      </c>
      <c r="AM34" s="46" t="n">
        <v>83.1381</v>
      </c>
      <c r="AN34" s="46" t="n">
        <v>91.2857</v>
      </c>
      <c r="AO34" s="46" t="n">
        <v>99.5563</v>
      </c>
      <c r="AP34" s="46" t="n">
        <v>107.9448</v>
      </c>
      <c r="AQ34" s="46" t="n">
        <v>116.4465</v>
      </c>
      <c r="AR34" s="46" t="n">
        <v>124.871</v>
      </c>
      <c r="AS34" s="46" t="n">
        <v>133.2187</v>
      </c>
      <c r="AT34" s="46" t="n">
        <v>141.4899</v>
      </c>
      <c r="AU34" s="46" t="n">
        <v>149.6851</v>
      </c>
      <c r="AV34" s="46" t="n">
        <v>157.8045</v>
      </c>
      <c r="AW34" s="46" t="n">
        <v>159.3713</v>
      </c>
      <c r="AX34" s="170" t="n">
        <v>167.2944</v>
      </c>
      <c r="AY34" s="170" t="n">
        <v>175.0981</v>
      </c>
      <c r="AZ34" s="170" t="n">
        <v>182.784</v>
      </c>
      <c r="BA34" s="170" t="n">
        <v>190.3536</v>
      </c>
      <c r="BB34" s="170" t="n">
        <v>197.8085</v>
      </c>
      <c r="BC34" s="170" t="n">
        <v>205.1504</v>
      </c>
      <c r="BD34" s="170" t="n">
        <v>212.3806</v>
      </c>
      <c r="BE34" s="170" t="n">
        <v>219.5007</v>
      </c>
      <c r="BF34" s="170" t="n">
        <v>226.5122</v>
      </c>
      <c r="BG34" s="170" t="n">
        <v>233.4166</v>
      </c>
      <c r="BH34" s="170" t="n">
        <v>240.2152</v>
      </c>
      <c r="BI34" s="170" t="n">
        <v>237.6897</v>
      </c>
      <c r="BJ34" s="46" t="n">
        <v>244.2811</v>
      </c>
      <c r="BK34" s="46" t="n">
        <v>250.7711</v>
      </c>
      <c r="BL34" s="46" t="n">
        <v>257.1608</v>
      </c>
      <c r="BM34" s="46" t="n">
        <v>263.4518</v>
      </c>
      <c r="BN34" s="46" t="n">
        <v>269.6453</v>
      </c>
      <c r="BO34" s="46" t="n">
        <v>275.7427</v>
      </c>
      <c r="BP34" s="46" t="n">
        <v>281.7452</v>
      </c>
      <c r="BQ34" s="46" t="n">
        <v>287.6541</v>
      </c>
      <c r="BR34" s="46" t="n">
        <v>293.4706</v>
      </c>
      <c r="BS34" s="46" t="n">
        <v>299.1961</v>
      </c>
      <c r="BT34" s="46" t="n">
        <v>304.8317</v>
      </c>
      <c r="BU34" s="46" t="n">
        <v>304.2603</v>
      </c>
      <c r="BV34" s="170" t="n">
        <v>309.7198</v>
      </c>
      <c r="BW34" s="170" t="n">
        <v>315.0931</v>
      </c>
      <c r="BX34" s="170" t="n">
        <v>320.3812</v>
      </c>
      <c r="BY34" s="170" t="n">
        <v>325.5853</v>
      </c>
      <c r="BZ34" s="170" t="n">
        <v>330.7066</v>
      </c>
      <c r="CA34" s="170" t="n">
        <v>335.7461</v>
      </c>
      <c r="CB34" s="170" t="n">
        <v>340.705</v>
      </c>
      <c r="CC34" s="170" t="n">
        <v>345.5844</v>
      </c>
      <c r="CD34" s="170" t="n">
        <v>350.3853</v>
      </c>
      <c r="CE34" s="170" t="n">
        <v>355.1087</v>
      </c>
      <c r="CF34" s="170" t="n">
        <v>359.7558</v>
      </c>
      <c r="CG34" s="170" t="n">
        <v>360.8453</v>
      </c>
      <c r="CH34" s="46" t="n">
        <v>365.3427</v>
      </c>
      <c r="CI34" s="46" t="n">
        <v>369.7668</v>
      </c>
      <c r="CJ34" s="46" t="n">
        <v>374.1185</v>
      </c>
      <c r="CK34" s="46" t="n">
        <v>378.3988</v>
      </c>
      <c r="CL34" s="46" t="n">
        <v>382.6086</v>
      </c>
      <c r="CM34" s="46" t="n">
        <v>386.7491</v>
      </c>
      <c r="CN34" s="46" t="n">
        <v>390.8209</v>
      </c>
      <c r="CO34" s="46" t="n">
        <v>394.8252</v>
      </c>
      <c r="CP34" s="46" t="n">
        <v>398.7627</v>
      </c>
      <c r="CQ34" s="46" t="n">
        <v>402.6345</v>
      </c>
      <c r="CR34" s="46" t="n">
        <v>406.4413</v>
      </c>
      <c r="CS34" s="46" t="n">
        <v>408.9426</v>
      </c>
      <c r="CT34" s="170" t="n">
        <v>412.6222</v>
      </c>
      <c r="CU34" s="170" t="n">
        <v>416.2394</v>
      </c>
      <c r="CV34" s="170" t="n">
        <v>419.7951</v>
      </c>
      <c r="CW34" s="170" t="n">
        <v>423.2902</v>
      </c>
      <c r="CX34" s="170" t="n">
        <v>426.7254</v>
      </c>
      <c r="CY34" s="170" t="n">
        <v>430.1015</v>
      </c>
      <c r="CZ34" s="170" t="n">
        <v>433.4194</v>
      </c>
      <c r="DA34" s="170" t="n">
        <v>436.6798</v>
      </c>
      <c r="DB34" s="170" t="n">
        <v>439.8836</v>
      </c>
      <c r="DC34" s="170" t="n">
        <v>443.0313</v>
      </c>
      <c r="DD34" s="170" t="n">
        <v>446.1239</v>
      </c>
      <c r="DE34" s="170" t="n">
        <v>449.1621</v>
      </c>
      <c r="DF34" s="46" t="n">
        <v>452.1465</v>
      </c>
      <c r="DG34" s="46" t="n">
        <v>455.0779</v>
      </c>
      <c r="DH34" s="46" t="n">
        <v>457.9571</v>
      </c>
      <c r="DI34" s="46" t="n">
        <v>460.7847</v>
      </c>
      <c r="DJ34" s="46" t="n">
        <v>463.5614</v>
      </c>
      <c r="DK34" s="46" t="n">
        <v>466.2879</v>
      </c>
      <c r="DL34" s="46" t="n">
        <v>468.9649</v>
      </c>
      <c r="DM34" s="46" t="n">
        <v>471.5931</v>
      </c>
      <c r="DN34" s="46" t="n">
        <v>474.173</v>
      </c>
      <c r="DO34" s="46" t="n">
        <v>476.7054</v>
      </c>
      <c r="DP34" s="46" t="n">
        <v>479.1909</v>
      </c>
      <c r="DQ34" s="46" t="n">
        <v>481.6302</v>
      </c>
      <c r="DR34" s="170" t="n">
        <v>484.0237</v>
      </c>
      <c r="DS34" s="170" t="n">
        <v>486.3723</v>
      </c>
      <c r="DT34" s="170" t="n">
        <v>488.6763</v>
      </c>
      <c r="DU34" s="170" t="n">
        <v>490.9366</v>
      </c>
      <c r="DV34" s="170" t="n">
        <v>493.1536</v>
      </c>
      <c r="DW34" s="170" t="n">
        <v>495.3279</v>
      </c>
      <c r="DX34" s="170" t="n">
        <v>497.4602</v>
      </c>
      <c r="DY34" s="170" t="n">
        <v>499.5509</v>
      </c>
      <c r="DZ34" s="170" t="n">
        <v>501.6007</v>
      </c>
      <c r="EA34" s="170" t="n">
        <v>503.61</v>
      </c>
      <c r="EB34" s="170" t="n">
        <v>505.5795</v>
      </c>
      <c r="EC34" s="170" t="n">
        <v>507.5096</v>
      </c>
      <c r="ED34" s="46" t="n">
        <v>509.4009</v>
      </c>
      <c r="EE34" s="46" t="n">
        <v>511.254</v>
      </c>
      <c r="EF34" s="46" t="n">
        <v>513.0693</v>
      </c>
      <c r="EG34" s="46" t="n">
        <v>514.8473</v>
      </c>
      <c r="EH34" s="46" t="n">
        <v>516.5885</v>
      </c>
      <c r="EI34" s="46" t="n">
        <v>518.2935</v>
      </c>
      <c r="EJ34" s="46" t="n">
        <v>519.9627</v>
      </c>
      <c r="EK34" s="46" t="n">
        <v>521.5966</v>
      </c>
      <c r="EL34" s="46" t="n">
        <v>523.1957</v>
      </c>
      <c r="EM34" s="46" t="n">
        <v>524.7604</v>
      </c>
      <c r="EN34" s="46" t="n">
        <v>526.2913</v>
      </c>
      <c r="EO34" s="46" t="n">
        <v>527.7887</v>
      </c>
      <c r="EP34" s="170" t="n">
        <v>529.2531</v>
      </c>
      <c r="EQ34" s="170" t="n">
        <v>530.685</v>
      </c>
      <c r="ER34" s="170" t="n">
        <v>532.0848</v>
      </c>
      <c r="ES34" s="170" t="n">
        <v>533.4529</v>
      </c>
      <c r="ET34" s="170" t="n">
        <v>534.7898</v>
      </c>
      <c r="EU34" s="170" t="n">
        <v>536.0958</v>
      </c>
      <c r="EV34" s="170" t="n">
        <v>537.3714</v>
      </c>
      <c r="EW34" s="170" t="n">
        <v>538.617</v>
      </c>
      <c r="EX34" s="170" t="n">
        <v>539.8331</v>
      </c>
      <c r="EY34" s="170" t="n">
        <v>541.0199</v>
      </c>
      <c r="EZ34" s="170" t="n">
        <v>542.1779</v>
      </c>
      <c r="FA34" s="170" t="n">
        <v>543.3075</v>
      </c>
      <c r="FB34" s="46" t="n">
        <v>544.4091</v>
      </c>
      <c r="FC34" s="46" t="n">
        <v>545.4829</v>
      </c>
      <c r="FD34" s="46" t="n">
        <v>546.5296</v>
      </c>
      <c r="FE34" s="46" t="n">
        <v>547.5492</v>
      </c>
      <c r="FF34" s="46" t="n">
        <v>548.5424</v>
      </c>
      <c r="FG34" s="46" t="n">
        <v>549.5093</v>
      </c>
      <c r="FH34" s="46" t="n">
        <v>550.4504</v>
      </c>
      <c r="FI34" s="46" t="n">
        <v>551.366</v>
      </c>
      <c r="FJ34" s="46" t="n">
        <v>552.2564</v>
      </c>
      <c r="FK34" s="46" t="n">
        <v>553.122</v>
      </c>
      <c r="FL34" s="46" t="n">
        <v>553.9631</v>
      </c>
      <c r="FM34" s="46" t="n">
        <v>554.78</v>
      </c>
      <c r="FN34" s="170" t="n">
        <v>555.5731</v>
      </c>
      <c r="FO34" s="170" t="n">
        <v>556.3428</v>
      </c>
      <c r="FP34" s="170" t="n">
        <v>557.0892</v>
      </c>
      <c r="FQ34" s="170" t="n">
        <v>557.8127</v>
      </c>
      <c r="FR34" s="170" t="n">
        <v>558.5137</v>
      </c>
      <c r="FS34" s="170" t="n">
        <v>559.1923</v>
      </c>
      <c r="FT34" s="170" t="n">
        <v>559.8491</v>
      </c>
      <c r="FU34" s="170" t="n">
        <v>560.4841</v>
      </c>
      <c r="FV34" s="170" t="n">
        <v>561.0977</v>
      </c>
      <c r="FW34" s="170" t="n">
        <v>561.6903</v>
      </c>
      <c r="FX34" s="170" t="n">
        <v>562.262</v>
      </c>
      <c r="FY34" s="170" t="n">
        <v>562.8132</v>
      </c>
      <c r="FZ34" s="1"/>
    </row>
    <row r="35" customFormat="false" ht="15" hidden="false" customHeight="true" outlineLevel="0" collapsed="false">
      <c r="A35" s="17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1"/>
    </row>
    <row r="36" customFormat="false" ht="15" hidden="false" customHeight="true" outlineLevel="0" collapsed="false">
      <c r="A36" s="10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175"/>
      <c r="DA36" s="175"/>
      <c r="DB36" s="175"/>
      <c r="DC36" s="175"/>
      <c r="DD36" s="175"/>
      <c r="DE36" s="175"/>
      <c r="DF36" s="175"/>
      <c r="DG36" s="175"/>
      <c r="DH36" s="175"/>
      <c r="DI36" s="175"/>
      <c r="DJ36" s="175"/>
      <c r="DK36" s="175"/>
      <c r="DL36" s="175"/>
      <c r="DM36" s="175"/>
      <c r="DN36" s="175"/>
      <c r="DO36" s="175"/>
      <c r="DP36" s="175"/>
      <c r="DQ36" s="175"/>
      <c r="DR36" s="175"/>
      <c r="DS36" s="175"/>
      <c r="DT36" s="175"/>
      <c r="DU36" s="175"/>
      <c r="DV36" s="175"/>
      <c r="DW36" s="175"/>
      <c r="DX36" s="175"/>
      <c r="DY36" s="175"/>
      <c r="DZ36" s="175"/>
      <c r="EA36" s="175"/>
      <c r="EB36" s="175"/>
      <c r="EC36" s="175"/>
      <c r="ED36" s="175"/>
      <c r="EE36" s="175"/>
      <c r="EF36" s="175"/>
      <c r="EG36" s="175"/>
      <c r="EH36" s="175"/>
      <c r="EI36" s="175"/>
      <c r="EJ36" s="175"/>
      <c r="EK36" s="175"/>
      <c r="EL36" s="175"/>
      <c r="EM36" s="175"/>
      <c r="EN36" s="175"/>
      <c r="EO36" s="175"/>
      <c r="EP36" s="175"/>
      <c r="EQ36" s="175"/>
      <c r="ER36" s="175"/>
      <c r="ES36" s="175"/>
      <c r="ET36" s="175"/>
      <c r="EU36" s="175"/>
      <c r="EV36" s="175"/>
      <c r="EW36" s="175"/>
      <c r="EX36" s="175"/>
      <c r="EY36" s="175"/>
      <c r="EZ36" s="175"/>
      <c r="FA36" s="175"/>
      <c r="FB36" s="175"/>
      <c r="FC36" s="175"/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175"/>
      <c r="FR36" s="175"/>
      <c r="FS36" s="175"/>
      <c r="FT36" s="175"/>
      <c r="FU36" s="175"/>
      <c r="FV36" s="175"/>
      <c r="FW36" s="175"/>
      <c r="FX36" s="175"/>
      <c r="FY36" s="175"/>
      <c r="FZ36" s="1"/>
    </row>
    <row r="37" customFormat="false" ht="15" hidden="false" customHeight="true" outlineLevel="0" collapsed="false">
      <c r="FZ37" s="1"/>
    </row>
    <row r="38" customFormat="false" ht="15" hidden="false" customHeight="true" outlineLevel="0" collapsed="false">
      <c r="FZ38" s="1"/>
    </row>
    <row r="39" customFormat="false" ht="15" hidden="false" customHeight="true" outlineLevel="0" collapsed="false">
      <c r="FZ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1" min="2" style="1" width="11"/>
  </cols>
  <sheetData>
    <row r="1" customFormat="false" ht="15.75" hidden="false" customHeight="true" outlineLevel="0" collapsed="false">
      <c r="A1" s="41" t="s">
        <v>435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BJ1" s="1"/>
    </row>
    <row r="2" customFormat="false" ht="15" hidden="false" customHeight="true" outlineLevel="0" collapsed="false">
      <c r="BJ2" s="1"/>
    </row>
    <row r="3" customFormat="false" ht="15" hidden="false" customHeight="true" outlineLevel="0" collapsed="false">
      <c r="A3" s="44" t="s">
        <v>217</v>
      </c>
      <c r="B3" s="43" t="s">
        <v>436</v>
      </c>
      <c r="C3" s="43" t="s">
        <v>437</v>
      </c>
      <c r="D3" s="43" t="s">
        <v>438</v>
      </c>
      <c r="E3" s="43" t="s">
        <v>439</v>
      </c>
      <c r="F3" s="43" t="s">
        <v>440</v>
      </c>
      <c r="G3" s="43" t="s">
        <v>441</v>
      </c>
      <c r="H3" s="43" t="s">
        <v>442</v>
      </c>
      <c r="I3" s="43" t="s">
        <v>443</v>
      </c>
      <c r="J3" s="43" t="s">
        <v>444</v>
      </c>
      <c r="K3" s="43" t="s">
        <v>445</v>
      </c>
      <c r="L3" s="43" t="s">
        <v>446</v>
      </c>
      <c r="M3" s="43" t="s">
        <v>447</v>
      </c>
      <c r="N3" s="43" t="s">
        <v>448</v>
      </c>
      <c r="O3" s="43" t="s">
        <v>449</v>
      </c>
      <c r="P3" s="43" t="s">
        <v>450</v>
      </c>
      <c r="Q3" s="43" t="s">
        <v>451</v>
      </c>
      <c r="R3" s="43" t="s">
        <v>452</v>
      </c>
      <c r="S3" s="43" t="s">
        <v>453</v>
      </c>
      <c r="T3" s="43" t="s">
        <v>454</v>
      </c>
      <c r="U3" s="43" t="s">
        <v>455</v>
      </c>
      <c r="V3" s="43" t="s">
        <v>456</v>
      </c>
      <c r="W3" s="43" t="s">
        <v>457</v>
      </c>
      <c r="X3" s="43" t="s">
        <v>458</v>
      </c>
      <c r="Y3" s="43" t="s">
        <v>459</v>
      </c>
      <c r="Z3" s="43" t="s">
        <v>460</v>
      </c>
      <c r="AA3" s="43" t="s">
        <v>461</v>
      </c>
      <c r="AB3" s="43" t="s">
        <v>462</v>
      </c>
      <c r="AC3" s="43" t="s">
        <v>463</v>
      </c>
      <c r="AD3" s="43" t="s">
        <v>464</v>
      </c>
      <c r="AE3" s="43" t="s">
        <v>465</v>
      </c>
      <c r="AF3" s="43" t="s">
        <v>466</v>
      </c>
      <c r="AG3" s="43" t="s">
        <v>467</v>
      </c>
      <c r="AH3" s="43" t="s">
        <v>468</v>
      </c>
      <c r="AI3" s="43" t="s">
        <v>469</v>
      </c>
      <c r="AJ3" s="43" t="s">
        <v>470</v>
      </c>
      <c r="AK3" s="43" t="s">
        <v>471</v>
      </c>
      <c r="AL3" s="43" t="s">
        <v>472</v>
      </c>
      <c r="AM3" s="43" t="s">
        <v>473</v>
      </c>
      <c r="AN3" s="43" t="s">
        <v>474</v>
      </c>
      <c r="AO3" s="43" t="s">
        <v>475</v>
      </c>
      <c r="AP3" s="43" t="s">
        <v>476</v>
      </c>
      <c r="AQ3" s="43" t="s">
        <v>477</v>
      </c>
      <c r="AR3" s="43" t="s">
        <v>478</v>
      </c>
      <c r="AS3" s="43" t="s">
        <v>479</v>
      </c>
      <c r="AT3" s="43" t="s">
        <v>480</v>
      </c>
      <c r="AU3" s="43" t="s">
        <v>481</v>
      </c>
      <c r="AV3" s="43" t="s">
        <v>482</v>
      </c>
      <c r="AW3" s="43" t="s">
        <v>483</v>
      </c>
      <c r="AX3" s="43" t="s">
        <v>484</v>
      </c>
      <c r="AY3" s="43" t="s">
        <v>485</v>
      </c>
      <c r="AZ3" s="43" t="s">
        <v>486</v>
      </c>
      <c r="BA3" s="43" t="s">
        <v>487</v>
      </c>
      <c r="BB3" s="43" t="s">
        <v>488</v>
      </c>
      <c r="BC3" s="43" t="s">
        <v>489</v>
      </c>
      <c r="BD3" s="43" t="s">
        <v>490</v>
      </c>
      <c r="BE3" s="43" t="s">
        <v>491</v>
      </c>
      <c r="BF3" s="43" t="s">
        <v>492</v>
      </c>
      <c r="BG3" s="43" t="s">
        <v>493</v>
      </c>
      <c r="BH3" s="43" t="s">
        <v>494</v>
      </c>
      <c r="BI3" s="43" t="s">
        <v>495</v>
      </c>
      <c r="BJ3" s="1"/>
    </row>
    <row r="4" customFormat="false" ht="15" hidden="false" customHeight="true" outlineLevel="0" collapsed="false">
      <c r="B4" s="183"/>
      <c r="F4" s="183"/>
      <c r="J4" s="183"/>
      <c r="N4" s="183"/>
      <c r="R4" s="183"/>
      <c r="V4" s="183"/>
      <c r="Z4" s="183"/>
      <c r="AD4" s="183"/>
      <c r="AH4" s="183"/>
      <c r="AL4" s="183"/>
      <c r="AP4" s="183"/>
      <c r="AT4" s="183"/>
      <c r="AX4" s="183"/>
      <c r="BB4" s="183"/>
      <c r="BF4" s="183"/>
      <c r="BJ4" s="1"/>
    </row>
    <row r="5" customFormat="false" ht="15" hidden="false" customHeight="true" outlineLevel="0" collapsed="false">
      <c r="A5" s="18" t="s">
        <v>234</v>
      </c>
      <c r="B5" s="177" t="n">
        <f aca="false">SUM(_Engine_R50!P31:P33)</f>
        <v>0</v>
      </c>
      <c r="C5" s="177" t="n">
        <f aca="false">SUM(_Engine_R50!P34:P36)</f>
        <v>6.22337965960749</v>
      </c>
      <c r="D5" s="177" t="n">
        <f aca="false">SUM(_Engine_R50!P37:P39)</f>
        <v>10.292539724291</v>
      </c>
      <c r="E5" s="177" t="n">
        <f aca="false">SUM(_Engine_R50!P40:P42)</f>
        <v>14.236813344027</v>
      </c>
      <c r="F5" s="177" t="n">
        <f aca="false">SUM(_Engine_R50!P43:P45)</f>
        <v>18.0012895697644</v>
      </c>
      <c r="G5" s="177" t="n">
        <f aca="false">SUM(_Engine_R50!P46:P48)</f>
        <v>23.6949355176483</v>
      </c>
      <c r="H5" s="177" t="n">
        <f aca="false">SUM(_Engine_R50!P49:P51)</f>
        <v>22.9913883635272</v>
      </c>
      <c r="I5" s="177" t="n">
        <f aca="false">SUM(_Engine_R50!P52:P54)</f>
        <v>22.311738994537</v>
      </c>
      <c r="J5" s="177" t="n">
        <f aca="false">SUM(_Engine_R50!P55:P57)</f>
        <v>21.6551158322419</v>
      </c>
      <c r="K5" s="177" t="n">
        <f aca="false">SUM(_Engine_R50!P58:P60)</f>
        <v>21.0206802672345</v>
      </c>
      <c r="L5" s="177" t="n">
        <f aca="false">SUM(_Engine_R50!P61:P63)</f>
        <v>23.4012274089622</v>
      </c>
      <c r="M5" s="177" t="n">
        <f aca="false">SUM(_Engine_R50!P64:P66)</f>
        <v>24.2578652633702</v>
      </c>
      <c r="N5" s="177" t="n">
        <f aca="false">SUM(_Engine_R50!P67:P69)</f>
        <v>23.6286653982353</v>
      </c>
      <c r="O5" s="177" t="n">
        <f aca="false">SUM(_Engine_R50!P70:P72)</f>
        <v>23.0193249230971</v>
      </c>
      <c r="P5" s="177" t="n">
        <f aca="false">SUM(_Engine_R50!P73:P75)</f>
        <v>22.4291427679229</v>
      </c>
      <c r="Q5" s="177" t="n">
        <f aca="false">SUM(_Engine_R50!P76:P78)</f>
        <v>21.8574440235325</v>
      </c>
      <c r="R5" s="177" t="n">
        <f aca="false">SUM(_Engine_R50!P79:P81)</f>
        <v>21.3035789381917</v>
      </c>
      <c r="S5" s="177" t="n">
        <f aca="false">SUM(_Engine_R50!P82:P84)</f>
        <v>20.7669219532559</v>
      </c>
      <c r="T5" s="177" t="n">
        <f aca="false">SUM(_Engine_R50!P85:P87)</f>
        <v>20.2468707763351</v>
      </c>
      <c r="U5" s="177" t="n">
        <f aca="false">SUM(_Engine_R50!P88:P90)</f>
        <v>19.7428454905041</v>
      </c>
      <c r="V5" s="177" t="n">
        <f aca="false">SUM(_Engine_R50!P91:P93)</f>
        <v>19.2542876981464</v>
      </c>
      <c r="W5" s="177" t="n">
        <f aca="false">SUM(_Engine_R50!P94:P96)</f>
        <v>18.7806596980721</v>
      </c>
      <c r="X5" s="177" t="n">
        <f aca="false">SUM(_Engine_R50!P97:P99)</f>
        <v>18.3214436946057</v>
      </c>
      <c r="Y5" s="177" t="n">
        <f aca="false">SUM(_Engine_R50!P100:P102)</f>
        <v>17.87614103739</v>
      </c>
      <c r="Z5" s="177" t="n">
        <f aca="false">SUM(_Engine_R50!P103:P105)</f>
        <v>17.4442714907025</v>
      </c>
      <c r="AA5" s="177" t="n">
        <f aca="false">SUM(_Engine_R50!P106:P108)</f>
        <v>17.0253725311267</v>
      </c>
      <c r="AB5" s="177" t="n">
        <f aca="false">SUM(_Engine_R50!P109:P111)</f>
        <v>16.6189986724698</v>
      </c>
      <c r="AC5" s="177" t="n">
        <f aca="false">SUM(_Engine_R50!P112:P114)</f>
        <v>16.2247208168567</v>
      </c>
      <c r="AD5" s="177" t="n">
        <f aca="false">SUM(_Engine_R50!P115:P117)</f>
        <v>15.8421256309771</v>
      </c>
      <c r="AE5" s="177" t="n">
        <f aca="false">SUM(_Engine_R50!P118:P120)</f>
        <v>15.4708149465009</v>
      </c>
      <c r="AF5" s="177" t="n">
        <f aca="false">SUM(_Engine_R50!P121:P123)</f>
        <v>15.1104051837148</v>
      </c>
      <c r="AG5" s="177" t="n">
        <f aca="false">SUM(_Engine_R50!P124:P126)</f>
        <v>14.7605267974726</v>
      </c>
      <c r="AH5" s="177" t="n">
        <f aca="false">SUM(_Engine_R50!P127:P129)</f>
        <v>14.4208237445859</v>
      </c>
      <c r="AI5" s="177" t="n">
        <f aca="false">SUM(_Engine_R50!P130:P132)</f>
        <v>14.0909529718163</v>
      </c>
      <c r="AJ5" s="177" t="n">
        <f aca="false">SUM(_Engine_R50!P133:P135)</f>
        <v>13.7705839236642</v>
      </c>
      <c r="AK5" s="177" t="n">
        <f aca="false">SUM(_Engine_R50!P136:P138)</f>
        <v>13.4593980691797</v>
      </c>
      <c r="AL5" s="177" t="n">
        <f aca="false">SUM(_Engine_R50!P139:P141)</f>
        <v>13.157088447053</v>
      </c>
      <c r="AM5" s="177" t="n">
        <f aca="false">SUM(_Engine_R50!P142:P144)</f>
        <v>12.8633592282693</v>
      </c>
      <c r="AN5" s="177" t="n">
        <f aca="false">SUM(_Engine_R50!P145:P147)</f>
        <v>12.577925295643</v>
      </c>
      <c r="AO5" s="177" t="n">
        <f aca="false">SUM(_Engine_R50!P148:P150)</f>
        <v>12.3005118395709</v>
      </c>
      <c r="AP5" s="177" t="n">
        <f aca="false">SUM(_Engine_R50!P151:P153)</f>
        <v>12.0308539693734</v>
      </c>
      <c r="AQ5" s="177" t="n">
        <f aca="false">SUM(_Engine_R50!P154:P156)</f>
        <v>11.7686963396127</v>
      </c>
      <c r="AR5" s="177" t="n">
        <f aca="false">SUM(_Engine_R50!P157:P159)</f>
        <v>11.513792790806</v>
      </c>
      <c r="AS5" s="177" t="n">
        <f aca="false">SUM(_Engine_R50!P160:P162)</f>
        <v>11.265906003971</v>
      </c>
      <c r="AT5" s="177" t="n">
        <f aca="false">SUM(_Engine_R50!P163:P165)</f>
        <v>11.0248071684648</v>
      </c>
      <c r="AU5" s="177" t="n">
        <f aca="false">SUM(_Engine_R50!P166:P168)</f>
        <v>10.7902756625979</v>
      </c>
      <c r="AV5" s="177" t="n">
        <f aca="false">SUM(_Engine_R50!P169:P171)</f>
        <v>10.5620987465258</v>
      </c>
      <c r="AW5" s="177" t="n">
        <f aca="false">SUM(_Engine_R50!P172:P174)</f>
        <v>10.3400712669397</v>
      </c>
      <c r="AX5" s="177" t="n">
        <f aca="false">SUM(_Engine_R50!P175:P177)</f>
        <v>10.1239953730969</v>
      </c>
      <c r="AY5" s="177" t="n">
        <f aca="false">SUM(_Engine_R50!P178:P180)</f>
        <v>9.91368024374929</v>
      </c>
      <c r="AZ5" s="177" t="n">
        <f aca="false">SUM(_Engine_R50!P181:P183)</f>
        <v>9.70894182454664</v>
      </c>
      <c r="BA5" s="177" t="n">
        <f aca="false">SUM(_Engine_R50!P184:P186)</f>
        <v>9.5096025755057</v>
      </c>
      <c r="BB5" s="177" t="n">
        <f aca="false">SUM(_Engine_R50!P187:P189)</f>
        <v>9.31549122815532</v>
      </c>
      <c r="BC5" s="177" t="n">
        <f aca="false">SUM(_Engine_R50!P190:P192)</f>
        <v>9.12644255198023</v>
      </c>
      <c r="BD5" s="177" t="n">
        <f aca="false">SUM(_Engine_R50!P193:P195)</f>
        <v>8.94229712980282</v>
      </c>
      <c r="BE5" s="177" t="n">
        <f aca="false">SUM(_Engine_R50!P196:P198)</f>
        <v>8.76290114175522</v>
      </c>
      <c r="BF5" s="177" t="n">
        <f aca="false">SUM(_Engine_R50!P199:P201)</f>
        <v>8.58810615750852</v>
      </c>
      <c r="BG5" s="177" t="n">
        <f aca="false">SUM(_Engine_R50!P202:P204)</f>
        <v>8.41776893643823</v>
      </c>
      <c r="BH5" s="177" t="n">
        <f aca="false">SUM(_Engine_R50!P205:P207)</f>
        <v>8.25175123541826</v>
      </c>
      <c r="BI5" s="177" t="n">
        <f aca="false">SUM(_Engine_R50!P208:P210)</f>
        <v>8.08991962394743</v>
      </c>
      <c r="BJ5" s="1"/>
    </row>
    <row r="6" customFormat="false" ht="15" hidden="false" customHeight="true" outlineLevel="0" collapsed="false">
      <c r="A6" s="17" t="s">
        <v>235</v>
      </c>
      <c r="B6" s="46" t="n">
        <f aca="false">SUM(_Engine_R50!Q31:Q33)</f>
        <v>0</v>
      </c>
      <c r="C6" s="46" t="n">
        <f aca="false">SUM(_Engine_R50!Q34:Q36)</f>
        <v>0.622337965960748</v>
      </c>
      <c r="D6" s="46" t="n">
        <f aca="false">SUM(_Engine_R50!Q37:Q39)</f>
        <v>1.0292539724291</v>
      </c>
      <c r="E6" s="46" t="n">
        <f aca="false">SUM(_Engine_R50!Q40:Q42)</f>
        <v>1.4236813344027</v>
      </c>
      <c r="F6" s="46" t="n">
        <f aca="false">SUM(_Engine_R50!Q43:Q45)</f>
        <v>1.80012895697644</v>
      </c>
      <c r="G6" s="46" t="n">
        <f aca="false">SUM(_Engine_R50!Q46:Q48)</f>
        <v>2.36949355176483</v>
      </c>
      <c r="H6" s="46" t="n">
        <f aca="false">SUM(_Engine_R50!Q49:Q51)</f>
        <v>2.29913883635272</v>
      </c>
      <c r="I6" s="46" t="n">
        <f aca="false">SUM(_Engine_R50!Q52:Q54)</f>
        <v>2.2311738994537</v>
      </c>
      <c r="J6" s="46" t="n">
        <f aca="false">SUM(_Engine_R50!Q55:Q57)</f>
        <v>2.16551158322419</v>
      </c>
      <c r="K6" s="46" t="n">
        <f aca="false">SUM(_Engine_R50!Q58:Q60)</f>
        <v>2.10206802672345</v>
      </c>
      <c r="L6" s="46" t="n">
        <f aca="false">SUM(_Engine_R50!Q61:Q63)</f>
        <v>2.34012274089622</v>
      </c>
      <c r="M6" s="46" t="n">
        <f aca="false">SUM(_Engine_R50!Q64:Q66)</f>
        <v>2.42578652633702</v>
      </c>
      <c r="N6" s="46" t="n">
        <f aca="false">SUM(_Engine_R50!Q67:Q69)</f>
        <v>2.36286653982353</v>
      </c>
      <c r="O6" s="46" t="n">
        <f aca="false">SUM(_Engine_R50!Q70:Q72)</f>
        <v>2.30193249230971</v>
      </c>
      <c r="P6" s="46" t="n">
        <f aca="false">SUM(_Engine_R50!Q73:Q75)</f>
        <v>2.24291427679229</v>
      </c>
      <c r="Q6" s="46" t="n">
        <f aca="false">SUM(_Engine_R50!Q76:Q78)</f>
        <v>2.18574440235326</v>
      </c>
      <c r="R6" s="46" t="n">
        <f aca="false">SUM(_Engine_R50!Q79:Q81)</f>
        <v>2.13035789381917</v>
      </c>
      <c r="S6" s="46" t="n">
        <f aca="false">SUM(_Engine_R50!Q82:Q84)</f>
        <v>2.07669219532559</v>
      </c>
      <c r="T6" s="46" t="n">
        <f aca="false">SUM(_Engine_R50!Q85:Q87)</f>
        <v>2.02468707763351</v>
      </c>
      <c r="U6" s="46" t="n">
        <f aca="false">SUM(_Engine_R50!Q88:Q90)</f>
        <v>1.97428454905041</v>
      </c>
      <c r="V6" s="46" t="n">
        <f aca="false">SUM(_Engine_R50!Q91:Q93)</f>
        <v>1.92542876981464</v>
      </c>
      <c r="W6" s="46" t="n">
        <f aca="false">SUM(_Engine_R50!Q94:Q96)</f>
        <v>1.87806596980721</v>
      </c>
      <c r="X6" s="46" t="n">
        <f aca="false">SUM(_Engine_R50!Q97:Q99)</f>
        <v>1.83214436946057</v>
      </c>
      <c r="Y6" s="46" t="n">
        <f aca="false">SUM(_Engine_R50!Q100:Q102)</f>
        <v>1.787614103739</v>
      </c>
      <c r="Z6" s="46" t="n">
        <f aca="false">SUM(_Engine_R50!Q103:Q105)</f>
        <v>1.74442714907025</v>
      </c>
      <c r="AA6" s="46" t="n">
        <f aca="false">SUM(_Engine_R50!Q106:Q108)</f>
        <v>1.70253725311267</v>
      </c>
      <c r="AB6" s="46" t="n">
        <f aca="false">SUM(_Engine_R50!Q109:Q111)</f>
        <v>1.66189986724698</v>
      </c>
      <c r="AC6" s="46" t="n">
        <f aca="false">SUM(_Engine_R50!Q112:Q114)</f>
        <v>1.62247208168567</v>
      </c>
      <c r="AD6" s="46" t="n">
        <f aca="false">SUM(_Engine_R50!Q115:Q117)</f>
        <v>1.58421256309771</v>
      </c>
      <c r="AE6" s="46" t="n">
        <f aca="false">SUM(_Engine_R50!Q118:Q120)</f>
        <v>1.5470814946501</v>
      </c>
      <c r="AF6" s="46" t="n">
        <f aca="false">SUM(_Engine_R50!Q121:Q123)</f>
        <v>1.51104051837148</v>
      </c>
      <c r="AG6" s="46" t="n">
        <f aca="false">SUM(_Engine_R50!Q124:Q126)</f>
        <v>1.47605267974726</v>
      </c>
      <c r="AH6" s="46" t="n">
        <f aca="false">SUM(_Engine_R50!Q127:Q129)</f>
        <v>1.44208237445859</v>
      </c>
      <c r="AI6" s="46" t="n">
        <f aca="false">SUM(_Engine_R50!Q130:Q132)</f>
        <v>1.40909529718163</v>
      </c>
      <c r="AJ6" s="46" t="n">
        <f aca="false">SUM(_Engine_R50!Q133:Q135)</f>
        <v>1.37705839236642</v>
      </c>
      <c r="AK6" s="46" t="n">
        <f aca="false">SUM(_Engine_R50!Q136:Q138)</f>
        <v>1.34593980691797</v>
      </c>
      <c r="AL6" s="46" t="n">
        <f aca="false">SUM(_Engine_R50!Q139:Q141)</f>
        <v>1.3157088447053</v>
      </c>
      <c r="AM6" s="46" t="n">
        <f aca="false">SUM(_Engine_R50!Q142:Q144)</f>
        <v>1.28633592282693</v>
      </c>
      <c r="AN6" s="46" t="n">
        <f aca="false">SUM(_Engine_R50!Q145:Q147)</f>
        <v>1.2577925295643</v>
      </c>
      <c r="AO6" s="46" t="n">
        <f aca="false">SUM(_Engine_R50!Q148:Q150)</f>
        <v>1.23005118395709</v>
      </c>
      <c r="AP6" s="46" t="n">
        <f aca="false">SUM(_Engine_R50!Q151:Q153)</f>
        <v>1.20308539693734</v>
      </c>
      <c r="AQ6" s="46" t="n">
        <f aca="false">SUM(_Engine_R50!Q154:Q156)</f>
        <v>1.17686963396127</v>
      </c>
      <c r="AR6" s="46" t="n">
        <f aca="false">SUM(_Engine_R50!Q157:Q159)</f>
        <v>1.1513792790806</v>
      </c>
      <c r="AS6" s="46" t="n">
        <f aca="false">SUM(_Engine_R50!Q160:Q162)</f>
        <v>1.1265906003971</v>
      </c>
      <c r="AT6" s="46" t="n">
        <f aca="false">SUM(_Engine_R50!Q163:Q165)</f>
        <v>1.10248071684648</v>
      </c>
      <c r="AU6" s="46" t="n">
        <f aca="false">SUM(_Engine_R50!Q166:Q168)</f>
        <v>1.07902756625979</v>
      </c>
      <c r="AV6" s="46" t="n">
        <f aca="false">SUM(_Engine_R50!Q169:Q171)</f>
        <v>1.05620987465258</v>
      </c>
      <c r="AW6" s="46" t="n">
        <f aca="false">SUM(_Engine_R50!Q172:Q174)</f>
        <v>1.03400712669397</v>
      </c>
      <c r="AX6" s="46" t="n">
        <f aca="false">SUM(_Engine_R50!Q175:Q177)</f>
        <v>1.01239953730969</v>
      </c>
      <c r="AY6" s="46" t="n">
        <f aca="false">SUM(_Engine_R50!Q178:Q180)</f>
        <v>0.991368024374929</v>
      </c>
      <c r="AZ6" s="46" t="n">
        <f aca="false">SUM(_Engine_R50!Q181:Q183)</f>
        <v>0.970894182454664</v>
      </c>
      <c r="BA6" s="46" t="n">
        <f aca="false">SUM(_Engine_R50!Q184:Q186)</f>
        <v>0.95096025755057</v>
      </c>
      <c r="BB6" s="46" t="n">
        <f aca="false">SUM(_Engine_R50!Q187:Q189)</f>
        <v>0.931549122815532</v>
      </c>
      <c r="BC6" s="46" t="n">
        <f aca="false">SUM(_Engine_R50!Q190:Q192)</f>
        <v>0.912644255198023</v>
      </c>
      <c r="BD6" s="46" t="n">
        <f aca="false">SUM(_Engine_R50!Q193:Q195)</f>
        <v>0.894229712980282</v>
      </c>
      <c r="BE6" s="46" t="n">
        <f aca="false">SUM(_Engine_R50!Q196:Q198)</f>
        <v>0.876290114175522</v>
      </c>
      <c r="BF6" s="46" t="n">
        <f aca="false">SUM(_Engine_R50!Q199:Q201)</f>
        <v>0.858810615750852</v>
      </c>
      <c r="BG6" s="46" t="n">
        <f aca="false">SUM(_Engine_R50!Q202:Q204)</f>
        <v>0.841776893643823</v>
      </c>
      <c r="BH6" s="46" t="n">
        <f aca="false">SUM(_Engine_R50!Q205:Q207)</f>
        <v>0.825175123541826</v>
      </c>
      <c r="BI6" s="46" t="n">
        <f aca="false">SUM(_Engine_R50!Q208:Q210)</f>
        <v>0.808991962394743</v>
      </c>
      <c r="BJ6" s="1"/>
    </row>
    <row r="7" customFormat="false" ht="15" hidden="false" customHeight="true" outlineLevel="0" collapsed="false">
      <c r="A7" s="179" t="s">
        <v>236</v>
      </c>
      <c r="B7" s="181" t="n">
        <f aca="false">B5-B6</f>
        <v>0</v>
      </c>
      <c r="C7" s="181" t="n">
        <f aca="false">C5-C6</f>
        <v>5.60104169364674</v>
      </c>
      <c r="D7" s="181" t="n">
        <f aca="false">D5-D6</f>
        <v>9.26328575186188</v>
      </c>
      <c r="E7" s="181" t="n">
        <f aca="false">E5-E6</f>
        <v>12.8131320096243</v>
      </c>
      <c r="F7" s="181" t="n">
        <f aca="false">F5-F6</f>
        <v>16.201160612788</v>
      </c>
      <c r="G7" s="181" t="n">
        <f aca="false">G5-G6</f>
        <v>21.3254419658834</v>
      </c>
      <c r="H7" s="181" t="n">
        <f aca="false">H5-H6</f>
        <v>20.6922495271745</v>
      </c>
      <c r="I7" s="181" t="n">
        <f aca="false">I5-I6</f>
        <v>20.0805650950833</v>
      </c>
      <c r="J7" s="181" t="n">
        <f aca="false">J5-J6</f>
        <v>19.4896042490177</v>
      </c>
      <c r="K7" s="181" t="n">
        <f aca="false">K5-K6</f>
        <v>18.918612240511</v>
      </c>
      <c r="L7" s="181" t="n">
        <f aca="false">L5-L6</f>
        <v>21.061104668066</v>
      </c>
      <c r="M7" s="181" t="n">
        <f aca="false">M5-M6</f>
        <v>21.8320787370331</v>
      </c>
      <c r="N7" s="181" t="n">
        <f aca="false">N5-N6</f>
        <v>21.2657988584118</v>
      </c>
      <c r="O7" s="181" t="n">
        <f aca="false">O5-O6</f>
        <v>20.7173924307874</v>
      </c>
      <c r="P7" s="181" t="n">
        <f aca="false">P5-P6</f>
        <v>20.1862284911306</v>
      </c>
      <c r="Q7" s="181" t="n">
        <f aca="false">Q5-Q6</f>
        <v>19.6716996211793</v>
      </c>
      <c r="R7" s="181" t="n">
        <f aca="false">R5-R6</f>
        <v>19.1732210443725</v>
      </c>
      <c r="S7" s="181" t="n">
        <f aca="false">S5-S6</f>
        <v>18.6902297579303</v>
      </c>
      <c r="T7" s="181" t="n">
        <f aca="false">T5-T6</f>
        <v>18.2221836987016</v>
      </c>
      <c r="U7" s="181" t="n">
        <f aca="false">U5-U6</f>
        <v>17.7685609414537</v>
      </c>
      <c r="V7" s="181" t="n">
        <f aca="false">V5-V6</f>
        <v>17.3288589283317</v>
      </c>
      <c r="W7" s="181" t="n">
        <f aca="false">W5-W6</f>
        <v>16.9025937282648</v>
      </c>
      <c r="X7" s="181" t="n">
        <f aca="false">X5-X6</f>
        <v>16.4892993251451</v>
      </c>
      <c r="Y7" s="181" t="n">
        <f aca="false">Y5-Y6</f>
        <v>16.088526933651</v>
      </c>
      <c r="Z7" s="181" t="n">
        <f aca="false">Z5-Z6</f>
        <v>15.6998443416322</v>
      </c>
      <c r="AA7" s="181" t="n">
        <f aca="false">AA5-AA6</f>
        <v>15.322835278014</v>
      </c>
      <c r="AB7" s="181" t="n">
        <f aca="false">AB5-AB6</f>
        <v>14.9570988052229</v>
      </c>
      <c r="AC7" s="181" t="n">
        <f aca="false">AC5-AC6</f>
        <v>14.602248735171</v>
      </c>
      <c r="AD7" s="181" t="n">
        <f aca="false">AD5-AD6</f>
        <v>14.2579130678794</v>
      </c>
      <c r="AE7" s="181" t="n">
        <f aca="false">AE5-AE6</f>
        <v>13.9237334518509</v>
      </c>
      <c r="AF7" s="181" t="n">
        <f aca="false">AF5-AF6</f>
        <v>13.5993646653433</v>
      </c>
      <c r="AG7" s="181" t="n">
        <f aca="false">AG5-AG6</f>
        <v>13.2844741177254</v>
      </c>
      <c r="AH7" s="181" t="n">
        <f aca="false">AH5-AH6</f>
        <v>12.9787413701273</v>
      </c>
      <c r="AI7" s="181" t="n">
        <f aca="false">AI5-AI6</f>
        <v>12.6818576746347</v>
      </c>
      <c r="AJ7" s="181" t="n">
        <f aca="false">AJ5-AJ6</f>
        <v>12.3935255312977</v>
      </c>
      <c r="AK7" s="181" t="n">
        <f aca="false">AK5-AK6</f>
        <v>12.1134582622617</v>
      </c>
      <c r="AL7" s="181" t="n">
        <f aca="false">AL5-AL6</f>
        <v>11.8413796023477</v>
      </c>
      <c r="AM7" s="181" t="n">
        <f aca="false">AM5-AM6</f>
        <v>11.5770233054424</v>
      </c>
      <c r="AN7" s="181" t="n">
        <f aca="false">AN5-AN6</f>
        <v>11.3201327660787</v>
      </c>
      <c r="AO7" s="181" t="n">
        <f aca="false">AO5-AO6</f>
        <v>11.0704606556138</v>
      </c>
      <c r="AP7" s="181" t="n">
        <f aca="false">AP5-AP6</f>
        <v>10.827768572436</v>
      </c>
      <c r="AQ7" s="181" t="n">
        <f aca="false">AQ5-AQ6</f>
        <v>10.5918267056514</v>
      </c>
      <c r="AR7" s="181" t="n">
        <f aca="false">AR5-AR6</f>
        <v>10.3624135117254</v>
      </c>
      <c r="AS7" s="181" t="n">
        <f aca="false">AS5-AS6</f>
        <v>10.1393154035739</v>
      </c>
      <c r="AT7" s="181" t="n">
        <f aca="false">AT5-AT6</f>
        <v>9.92232645161831</v>
      </c>
      <c r="AU7" s="181" t="n">
        <f aca="false">AU5-AU6</f>
        <v>9.71124809633809</v>
      </c>
      <c r="AV7" s="181" t="n">
        <f aca="false">AV5-AV6</f>
        <v>9.50588887187321</v>
      </c>
      <c r="AW7" s="181" t="n">
        <f aca="false">AW5-AW6</f>
        <v>9.30606414024572</v>
      </c>
      <c r="AX7" s="181" t="n">
        <f aca="false">AX5-AX6</f>
        <v>9.11159583578717</v>
      </c>
      <c r="AY7" s="181" t="n">
        <f aca="false">AY5-AY6</f>
        <v>8.92231221937436</v>
      </c>
      <c r="AZ7" s="181" t="n">
        <f aca="false">AZ5-AZ6</f>
        <v>8.73804764209197</v>
      </c>
      <c r="BA7" s="181" t="n">
        <f aca="false">BA5-BA6</f>
        <v>8.55864231795513</v>
      </c>
      <c r="BB7" s="181" t="n">
        <f aca="false">BB5-BB6</f>
        <v>8.38394210533978</v>
      </c>
      <c r="BC7" s="181" t="n">
        <f aca="false">BC5-BC6</f>
        <v>8.21379829678221</v>
      </c>
      <c r="BD7" s="181" t="n">
        <f aca="false">BD5-BD6</f>
        <v>8.04806741682254</v>
      </c>
      <c r="BE7" s="181" t="n">
        <f aca="false">BE5-BE6</f>
        <v>7.8866110275797</v>
      </c>
      <c r="BF7" s="181" t="n">
        <f aca="false">BF5-BF6</f>
        <v>7.72929554175767</v>
      </c>
      <c r="BG7" s="181" t="n">
        <f aca="false">BG5-BG6</f>
        <v>7.5759920427944</v>
      </c>
      <c r="BH7" s="181" t="n">
        <f aca="false">BH5-BH6</f>
        <v>7.42657611187644</v>
      </c>
      <c r="BI7" s="181" t="n">
        <f aca="false">BI5-BI6</f>
        <v>7.28092766155269</v>
      </c>
      <c r="BJ7" s="167"/>
    </row>
    <row r="8" customFormat="false" ht="15" hidden="false" customHeight="true" outlineLevel="0" collapsed="false">
      <c r="A8" s="18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"/>
    </row>
    <row r="9" customFormat="false" ht="15" hidden="false" customHeight="true" outlineLevel="0" collapsed="false">
      <c r="A9" s="17" t="s">
        <v>238</v>
      </c>
      <c r="B9" s="46" t="n">
        <f aca="false">SUM(_Engine_R50!R31:R33)</f>
        <v>0</v>
      </c>
      <c r="C9" s="46" t="n">
        <f aca="false">SUM(_Engine_R50!R34:R36)</f>
        <v>0.311168982980374</v>
      </c>
      <c r="D9" s="46" t="n">
        <f aca="false">SUM(_Engine_R50!R37:R39)</f>
        <v>0.514626986214549</v>
      </c>
      <c r="E9" s="46" t="n">
        <f aca="false">SUM(_Engine_R50!R40:R42)</f>
        <v>0.71184066720135</v>
      </c>
      <c r="F9" s="46" t="n">
        <f aca="false">SUM(_Engine_R50!R43:R45)</f>
        <v>0.90006447848822</v>
      </c>
      <c r="G9" s="46" t="n">
        <f aca="false">SUM(_Engine_R50!R46:R48)</f>
        <v>1.18474677588241</v>
      </c>
      <c r="H9" s="46" t="n">
        <f aca="false">SUM(_Engine_R50!R49:R51)</f>
        <v>1.14956941817636</v>
      </c>
      <c r="I9" s="46" t="n">
        <f aca="false">SUM(_Engine_R50!R52:R54)</f>
        <v>1.11558694972685</v>
      </c>
      <c r="J9" s="46" t="n">
        <f aca="false">SUM(_Engine_R50!R55:R57)</f>
        <v>1.08275579161209</v>
      </c>
      <c r="K9" s="46" t="n">
        <f aca="false">SUM(_Engine_R50!R58:R60)</f>
        <v>1.05103401336172</v>
      </c>
      <c r="L9" s="46" t="n">
        <f aca="false">SUM(_Engine_R50!R61:R63)</f>
        <v>1.17006137044811</v>
      </c>
      <c r="M9" s="46" t="n">
        <f aca="false">SUM(_Engine_R50!R64:R66)</f>
        <v>1.21289326316851</v>
      </c>
      <c r="N9" s="46" t="n">
        <f aca="false">SUM(_Engine_R50!R67:R69)</f>
        <v>1.18143326991177</v>
      </c>
      <c r="O9" s="46" t="n">
        <f aca="false">SUM(_Engine_R50!R70:R72)</f>
        <v>1.15096624615486</v>
      </c>
      <c r="P9" s="46" t="n">
        <f aca="false">SUM(_Engine_R50!R73:R75)</f>
        <v>1.12145713839614</v>
      </c>
      <c r="Q9" s="46" t="n">
        <f aca="false">SUM(_Engine_R50!R76:R78)</f>
        <v>1.09287220117663</v>
      </c>
      <c r="R9" s="46" t="n">
        <f aca="false">SUM(_Engine_R50!R79:R81)</f>
        <v>1.06517894690958</v>
      </c>
      <c r="S9" s="46" t="n">
        <f aca="false">SUM(_Engine_R50!R82:R84)</f>
        <v>1.03834609766279</v>
      </c>
      <c r="T9" s="46" t="n">
        <f aca="false">SUM(_Engine_R50!R85:R87)</f>
        <v>1.01234353881675</v>
      </c>
      <c r="U9" s="46" t="n">
        <f aca="false">SUM(_Engine_R50!R88:R90)</f>
        <v>0.987142274525205</v>
      </c>
      <c r="V9" s="46" t="n">
        <f aca="false">SUM(_Engine_R50!R91:R93)</f>
        <v>0.962714384907319</v>
      </c>
      <c r="W9" s="46" t="n">
        <f aca="false">SUM(_Engine_R50!R94:R96)</f>
        <v>0.939032984903603</v>
      </c>
      <c r="X9" s="46" t="n">
        <f aca="false">SUM(_Engine_R50!R97:R99)</f>
        <v>0.916072184730284</v>
      </c>
      <c r="Y9" s="46" t="n">
        <f aca="false">SUM(_Engine_R50!R100:R102)</f>
        <v>0.893807051869502</v>
      </c>
      <c r="Z9" s="46" t="n">
        <f aca="false">SUM(_Engine_R50!R103:R105)</f>
        <v>0.872213574535124</v>
      </c>
      <c r="AA9" s="46" t="n">
        <f aca="false">SUM(_Engine_R50!R106:R108)</f>
        <v>0.851268626556336</v>
      </c>
      <c r="AB9" s="46" t="n">
        <f aca="false">SUM(_Engine_R50!R109:R111)</f>
        <v>0.830949933623492</v>
      </c>
      <c r="AC9" s="46" t="n">
        <f aca="false">SUM(_Engine_R50!R112:R114)</f>
        <v>0.811236040842835</v>
      </c>
      <c r="AD9" s="46" t="n">
        <f aca="false">SUM(_Engine_R50!R115:R117)</f>
        <v>0.792106281548857</v>
      </c>
      <c r="AE9" s="46" t="n">
        <f aca="false">SUM(_Engine_R50!R118:R120)</f>
        <v>0.773540747325048</v>
      </c>
      <c r="AF9" s="46" t="n">
        <f aca="false">SUM(_Engine_R50!R121:R123)</f>
        <v>0.755520259185741</v>
      </c>
      <c r="AG9" s="46" t="n">
        <f aca="false">SUM(_Engine_R50!R124:R126)</f>
        <v>0.738026339873632</v>
      </c>
      <c r="AH9" s="46" t="n">
        <f aca="false">SUM(_Engine_R50!R127:R129)</f>
        <v>0.721041187229296</v>
      </c>
      <c r="AI9" s="46" t="n">
        <f aca="false">SUM(_Engine_R50!R130:R132)</f>
        <v>0.704547648590815</v>
      </c>
      <c r="AJ9" s="46" t="n">
        <f aca="false">SUM(_Engine_R50!R133:R135)</f>
        <v>0.688529196183208</v>
      </c>
      <c r="AK9" s="46" t="n">
        <f aca="false">SUM(_Engine_R50!R136:R138)</f>
        <v>0.672969903458983</v>
      </c>
      <c r="AL9" s="46" t="n">
        <f aca="false">SUM(_Engine_R50!R139:R141)</f>
        <v>0.657854422352649</v>
      </c>
      <c r="AM9" s="46" t="n">
        <f aca="false">SUM(_Engine_R50!R142:R144)</f>
        <v>0.643167961413466</v>
      </c>
      <c r="AN9" s="46" t="n">
        <f aca="false">SUM(_Engine_R50!R145:R147)</f>
        <v>0.628896264782148</v>
      </c>
      <c r="AO9" s="46" t="n">
        <f aca="false">SUM(_Engine_R50!R148:R150)</f>
        <v>0.615025591978544</v>
      </c>
      <c r="AP9" s="46" t="n">
        <f aca="false">SUM(_Engine_R50!R151:R153)</f>
        <v>0.601542698468668</v>
      </c>
      <c r="AQ9" s="46" t="n">
        <f aca="false">SUM(_Engine_R50!R154:R156)</f>
        <v>0.588434816980633</v>
      </c>
      <c r="AR9" s="46" t="n">
        <f aca="false">SUM(_Engine_R50!R157:R159)</f>
        <v>0.575689639540299</v>
      </c>
      <c r="AS9" s="46" t="n">
        <f aca="false">SUM(_Engine_R50!R160:R162)</f>
        <v>0.56329530019855</v>
      </c>
      <c r="AT9" s="46" t="n">
        <f aca="false">SUM(_Engine_R50!R163:R165)</f>
        <v>0.55124035842324</v>
      </c>
      <c r="AU9" s="46" t="n">
        <f aca="false">SUM(_Engine_R50!R166:R168)</f>
        <v>0.539513783129894</v>
      </c>
      <c r="AV9" s="46" t="n">
        <f aca="false">SUM(_Engine_R50!R169:R171)</f>
        <v>0.528104937326289</v>
      </c>
      <c r="AW9" s="46" t="n">
        <f aca="false">SUM(_Engine_R50!R172:R174)</f>
        <v>0.517003563346985</v>
      </c>
      <c r="AX9" s="46" t="n">
        <f aca="false">SUM(_Engine_R50!R175:R177)</f>
        <v>0.506199768654843</v>
      </c>
      <c r="AY9" s="46" t="n">
        <f aca="false">SUM(_Engine_R50!R178:R180)</f>
        <v>0.495684012187465</v>
      </c>
      <c r="AZ9" s="46" t="n">
        <f aca="false">SUM(_Engine_R50!R181:R183)</f>
        <v>0.485447091227332</v>
      </c>
      <c r="BA9" s="46" t="n">
        <f aca="false">SUM(_Engine_R50!R184:R186)</f>
        <v>0.475480128775285</v>
      </c>
      <c r="BB9" s="46" t="n">
        <f aca="false">SUM(_Engine_R50!R187:R189)</f>
        <v>0.465774561407766</v>
      </c>
      <c r="BC9" s="46" t="n">
        <f aca="false">SUM(_Engine_R50!R190:R192)</f>
        <v>0.456322127599012</v>
      </c>
      <c r="BD9" s="46" t="n">
        <f aca="false">SUM(_Engine_R50!R193:R195)</f>
        <v>0.447114856490141</v>
      </c>
      <c r="BE9" s="46" t="n">
        <f aca="false">SUM(_Engine_R50!R196:R198)</f>
        <v>0.438145057087761</v>
      </c>
      <c r="BF9" s="46" t="n">
        <f aca="false">SUM(_Engine_R50!R199:R201)</f>
        <v>0.429405307875426</v>
      </c>
      <c r="BG9" s="46" t="n">
        <f aca="false">SUM(_Engine_R50!R202:R204)</f>
        <v>0.420888446821911</v>
      </c>
      <c r="BH9" s="46" t="n">
        <f aca="false">SUM(_Engine_R50!R205:R207)</f>
        <v>0.412587561770913</v>
      </c>
      <c r="BI9" s="46" t="n">
        <f aca="false">SUM(_Engine_R50!R208:R210)</f>
        <v>0.404495981197372</v>
      </c>
      <c r="BJ9" s="1"/>
    </row>
    <row r="10" customFormat="false" ht="15" hidden="false" customHeight="true" outlineLevel="0" collapsed="false">
      <c r="A10" s="17" t="s">
        <v>239</v>
      </c>
      <c r="B10" s="46" t="n">
        <f aca="false">SUM(_Engine_R50!S31:S33)</f>
        <v>0</v>
      </c>
      <c r="C10" s="46" t="n">
        <f aca="false">SUM(_Engine_R50!S34:S36)</f>
        <v>0.373402779576449</v>
      </c>
      <c r="D10" s="46" t="n">
        <f aca="false">SUM(_Engine_R50!S37:S39)</f>
        <v>0.617552383457459</v>
      </c>
      <c r="E10" s="46" t="n">
        <f aca="false">SUM(_Engine_R50!S40:S42)</f>
        <v>0.85420880064162</v>
      </c>
      <c r="F10" s="46" t="n">
        <f aca="false">SUM(_Engine_R50!S43:S45)</f>
        <v>1.08007737418586</v>
      </c>
      <c r="G10" s="46" t="n">
        <f aca="false">SUM(_Engine_R50!S46:S48)</f>
        <v>1.4216961310589</v>
      </c>
      <c r="H10" s="46" t="n">
        <f aca="false">SUM(_Engine_R50!S49:S51)</f>
        <v>1.37948330181163</v>
      </c>
      <c r="I10" s="46" t="n">
        <f aca="false">SUM(_Engine_R50!S52:S54)</f>
        <v>1.33870433967222</v>
      </c>
      <c r="J10" s="46" t="n">
        <f aca="false">SUM(_Engine_R50!S55:S57)</f>
        <v>1.29930694993451</v>
      </c>
      <c r="K10" s="46" t="n">
        <f aca="false">SUM(_Engine_R50!S58:S60)</f>
        <v>1.26124081603407</v>
      </c>
      <c r="L10" s="46" t="n">
        <f aca="false">SUM(_Engine_R50!S61:S63)</f>
        <v>1.40407364453773</v>
      </c>
      <c r="M10" s="46" t="n">
        <f aca="false">SUM(_Engine_R50!S64:S66)</f>
        <v>1.45547191580221</v>
      </c>
      <c r="N10" s="46" t="n">
        <f aca="false">SUM(_Engine_R50!S67:S69)</f>
        <v>1.41771992389412</v>
      </c>
      <c r="O10" s="46" t="n">
        <f aca="false">SUM(_Engine_R50!S70:S72)</f>
        <v>1.38115949538583</v>
      </c>
      <c r="P10" s="46" t="n">
        <f aca="false">SUM(_Engine_R50!S73:S75)</f>
        <v>1.34574856607537</v>
      </c>
      <c r="Q10" s="46" t="n">
        <f aca="false">SUM(_Engine_R50!S76:S78)</f>
        <v>1.31144664141195</v>
      </c>
      <c r="R10" s="46" t="n">
        <f aca="false">SUM(_Engine_R50!S79:S81)</f>
        <v>1.2782147362915</v>
      </c>
      <c r="S10" s="46" t="n">
        <f aca="false">SUM(_Engine_R50!S82:S84)</f>
        <v>1.24601531719535</v>
      </c>
      <c r="T10" s="46" t="n">
        <f aca="false">SUM(_Engine_R50!S85:S87)</f>
        <v>1.2148122465801</v>
      </c>
      <c r="U10" s="46" t="n">
        <f aca="false">SUM(_Engine_R50!S88:S90)</f>
        <v>1.18457072943025</v>
      </c>
      <c r="V10" s="46" t="n">
        <f aca="false">SUM(_Engine_R50!S91:S93)</f>
        <v>1.15525726188878</v>
      </c>
      <c r="W10" s="46" t="n">
        <f aca="false">SUM(_Engine_R50!S94:S96)</f>
        <v>1.12683958188432</v>
      </c>
      <c r="X10" s="46" t="n">
        <f aca="false">SUM(_Engine_R50!S97:S99)</f>
        <v>1.09928662167634</v>
      </c>
      <c r="Y10" s="46" t="n">
        <f aca="false">SUM(_Engine_R50!S100:S102)</f>
        <v>1.0725684622434</v>
      </c>
      <c r="Z10" s="46" t="n">
        <f aca="false">SUM(_Engine_R50!S103:S105)</f>
        <v>1.04665628944215</v>
      </c>
      <c r="AA10" s="46" t="n">
        <f aca="false">SUM(_Engine_R50!S106:S108)</f>
        <v>1.0215223518676</v>
      </c>
      <c r="AB10" s="46" t="n">
        <f aca="false">SUM(_Engine_R50!S109:S111)</f>
        <v>0.997139920348191</v>
      </c>
      <c r="AC10" s="46" t="n">
        <f aca="false">SUM(_Engine_R50!S112:S114)</f>
        <v>0.973483249011403</v>
      </c>
      <c r="AD10" s="46" t="n">
        <f aca="false">SUM(_Engine_R50!S115:S117)</f>
        <v>0.950527537858629</v>
      </c>
      <c r="AE10" s="46" t="n">
        <f aca="false">SUM(_Engine_R50!S118:S120)</f>
        <v>0.928248896790057</v>
      </c>
      <c r="AF10" s="46" t="n">
        <f aca="false">SUM(_Engine_R50!S121:S123)</f>
        <v>0.90662431102289</v>
      </c>
      <c r="AG10" s="46" t="n">
        <f aca="false">SUM(_Engine_R50!S124:S126)</f>
        <v>0.885631607848358</v>
      </c>
      <c r="AH10" s="46" t="n">
        <f aca="false">SUM(_Engine_R50!S127:S129)</f>
        <v>0.865249424675155</v>
      </c>
      <c r="AI10" s="46" t="n">
        <f aca="false">SUM(_Engine_R50!S130:S132)</f>
        <v>0.845457178308978</v>
      </c>
      <c r="AJ10" s="46" t="n">
        <f aca="false">SUM(_Engine_R50!S133:S135)</f>
        <v>0.82623503541985</v>
      </c>
      <c r="AK10" s="46" t="n">
        <f aca="false">SUM(_Engine_R50!S136:S138)</f>
        <v>0.80756388415078</v>
      </c>
      <c r="AL10" s="46" t="n">
        <f aca="false">SUM(_Engine_R50!S139:S141)</f>
        <v>0.789425306823178</v>
      </c>
      <c r="AM10" s="46" t="n">
        <f aca="false">SUM(_Engine_R50!S142:S144)</f>
        <v>0.77180155369616</v>
      </c>
      <c r="AN10" s="46" t="n">
        <f aca="false">SUM(_Engine_R50!S145:S147)</f>
        <v>0.754675517738577</v>
      </c>
      <c r="AO10" s="46" t="n">
        <f aca="false">SUM(_Engine_R50!S148:S150)</f>
        <v>0.738030710374253</v>
      </c>
      <c r="AP10" s="46" t="n">
        <f aca="false">SUM(_Engine_R50!S151:S153)</f>
        <v>0.721851238162402</v>
      </c>
      <c r="AQ10" s="46" t="n">
        <f aca="false">SUM(_Engine_R50!S154:S156)</f>
        <v>0.706121780376759</v>
      </c>
      <c r="AR10" s="46" t="n">
        <f aca="false">SUM(_Engine_R50!S157:S159)</f>
        <v>0.690827567448358</v>
      </c>
      <c r="AS10" s="46" t="n">
        <f aca="false">SUM(_Engine_R50!S160:S162)</f>
        <v>0.67595436023826</v>
      </c>
      <c r="AT10" s="46" t="n">
        <f aca="false">SUM(_Engine_R50!S163:S165)</f>
        <v>0.661488430107887</v>
      </c>
      <c r="AU10" s="46" t="n">
        <f aca="false">SUM(_Engine_R50!S166:S168)</f>
        <v>0.647416539755873</v>
      </c>
      <c r="AV10" s="46" t="n">
        <f aca="false">SUM(_Engine_R50!S169:S171)</f>
        <v>0.633725924791547</v>
      </c>
      <c r="AW10" s="46" t="n">
        <f aca="false">SUM(_Engine_R50!S172:S174)</f>
        <v>0.620404276016381</v>
      </c>
      <c r="AX10" s="46" t="n">
        <f aca="false">SUM(_Engine_R50!S175:S177)</f>
        <v>0.607439722385811</v>
      </c>
      <c r="AY10" s="46" t="n">
        <f aca="false">SUM(_Engine_R50!S178:S180)</f>
        <v>0.594820814624958</v>
      </c>
      <c r="AZ10" s="46" t="n">
        <f aca="false">SUM(_Engine_R50!S181:S183)</f>
        <v>0.582536509472798</v>
      </c>
      <c r="BA10" s="46" t="n">
        <f aca="false">SUM(_Engine_R50!S184:S186)</f>
        <v>0.570576154530342</v>
      </c>
      <c r="BB10" s="46" t="n">
        <f aca="false">SUM(_Engine_R50!S187:S189)</f>
        <v>0.558929473689319</v>
      </c>
      <c r="BC10" s="46" t="n">
        <f aca="false">SUM(_Engine_R50!S190:S192)</f>
        <v>0.547586553118814</v>
      </c>
      <c r="BD10" s="46" t="n">
        <f aca="false">SUM(_Engine_R50!S193:S195)</f>
        <v>0.536537827788169</v>
      </c>
      <c r="BE10" s="46" t="n">
        <f aca="false">SUM(_Engine_R50!S196:S198)</f>
        <v>0.525774068505313</v>
      </c>
      <c r="BF10" s="46" t="n">
        <f aca="false">SUM(_Engine_R50!S199:S201)</f>
        <v>0.515286369450511</v>
      </c>
      <c r="BG10" s="46" t="n">
        <f aca="false">SUM(_Engine_R50!S202:S204)</f>
        <v>0.505066136186294</v>
      </c>
      <c r="BH10" s="46" t="n">
        <f aca="false">SUM(_Engine_R50!S205:S207)</f>
        <v>0.495105074125096</v>
      </c>
      <c r="BI10" s="46" t="n">
        <f aca="false">SUM(_Engine_R50!S208:S210)</f>
        <v>0.485395177436846</v>
      </c>
      <c r="BJ10" s="1"/>
    </row>
    <row r="11" customFormat="false" ht="15" hidden="false" customHeight="true" outlineLevel="0" collapsed="false">
      <c r="A11" s="17" t="s">
        <v>240</v>
      </c>
      <c r="B11" s="46" t="n">
        <f aca="false">SUM(_Engine_R50!D31:D33)</f>
        <v>0.864317475</v>
      </c>
      <c r="C11" s="46" t="n">
        <f aca="false">SUM(_Engine_R50!D34:D36)</f>
        <v>0.864317475</v>
      </c>
      <c r="D11" s="46" t="n">
        <f aca="false">SUM(_Engine_R50!D37:D39)</f>
        <v>0.864317475</v>
      </c>
      <c r="E11" s="46" t="n">
        <f aca="false">SUM(_Engine_R50!D40:D42)</f>
        <v>0.864317475</v>
      </c>
      <c r="F11" s="46" t="n">
        <f aca="false">SUM(_Engine_R50!D43:D45)</f>
        <v>1.899130975</v>
      </c>
      <c r="G11" s="46" t="n">
        <f aca="false">SUM(_Engine_R50!D46:D48)</f>
        <v>1.899130975</v>
      </c>
      <c r="H11" s="46" t="n">
        <f aca="false">SUM(_Engine_R50!D49:D51)</f>
        <v>1.899130975</v>
      </c>
      <c r="I11" s="46" t="n">
        <f aca="false">SUM(_Engine_R50!D52:D54)</f>
        <v>1.899130975</v>
      </c>
      <c r="J11" s="46" t="n">
        <f aca="false">SUM(_Engine_R50!D55:D57)</f>
        <v>1.90925</v>
      </c>
      <c r="K11" s="46" t="n">
        <f aca="false">SUM(_Engine_R50!D58:D60)</f>
        <v>1.90925</v>
      </c>
      <c r="L11" s="46" t="n">
        <f aca="false">SUM(_Engine_R50!D61:D63)</f>
        <v>1.90925</v>
      </c>
      <c r="M11" s="46" t="n">
        <f aca="false">SUM(_Engine_R50!D64:D66)</f>
        <v>1.90925</v>
      </c>
      <c r="N11" s="46" t="n">
        <f aca="false">SUM(_Engine_R50!D67:D69)</f>
        <v>1.90925</v>
      </c>
      <c r="O11" s="46" t="n">
        <f aca="false">SUM(_Engine_R50!D70:D72)</f>
        <v>1.90925</v>
      </c>
      <c r="P11" s="46" t="n">
        <f aca="false">SUM(_Engine_R50!D73:D75)</f>
        <v>1.90925</v>
      </c>
      <c r="Q11" s="46" t="n">
        <f aca="false">SUM(_Engine_R50!D76:D78)</f>
        <v>1.90925</v>
      </c>
      <c r="R11" s="46" t="n">
        <f aca="false">SUM(_Engine_R50!D79:D81)</f>
        <v>1.90925</v>
      </c>
      <c r="S11" s="46" t="n">
        <f aca="false">SUM(_Engine_R50!D82:D84)</f>
        <v>1.90925</v>
      </c>
      <c r="T11" s="46" t="n">
        <f aca="false">SUM(_Engine_R50!D85:D87)</f>
        <v>1.90925</v>
      </c>
      <c r="U11" s="46" t="n">
        <f aca="false">SUM(_Engine_R50!D88:D90)</f>
        <v>1.90925</v>
      </c>
      <c r="V11" s="46" t="n">
        <f aca="false">SUM(_Engine_R50!D91:D93)</f>
        <v>1.90925</v>
      </c>
      <c r="W11" s="46" t="n">
        <f aca="false">SUM(_Engine_R50!D94:D96)</f>
        <v>1.90925</v>
      </c>
      <c r="X11" s="46" t="n">
        <f aca="false">SUM(_Engine_R50!D97:D99)</f>
        <v>1.90925</v>
      </c>
      <c r="Y11" s="46" t="n">
        <f aca="false">SUM(_Engine_R50!D100:D102)</f>
        <v>1.90925</v>
      </c>
      <c r="Z11" s="46" t="n">
        <f aca="false">SUM(_Engine_R50!D103:D105)</f>
        <v>1.90925</v>
      </c>
      <c r="AA11" s="46" t="n">
        <f aca="false">SUM(_Engine_R50!D106:D108)</f>
        <v>1.90925</v>
      </c>
      <c r="AB11" s="46" t="n">
        <f aca="false">SUM(_Engine_R50!D109:D111)</f>
        <v>1.90925</v>
      </c>
      <c r="AC11" s="46" t="n">
        <f aca="false">SUM(_Engine_R50!D112:D114)</f>
        <v>1.90925</v>
      </c>
      <c r="AD11" s="46" t="n">
        <f aca="false">SUM(_Engine_R50!D115:D117)</f>
        <v>1.90925</v>
      </c>
      <c r="AE11" s="46" t="n">
        <f aca="false">SUM(_Engine_R50!D118:D120)</f>
        <v>1.90925</v>
      </c>
      <c r="AF11" s="46" t="n">
        <f aca="false">SUM(_Engine_R50!D121:D123)</f>
        <v>1.90925</v>
      </c>
      <c r="AG11" s="46" t="n">
        <f aca="false">SUM(_Engine_R50!D124:D126)</f>
        <v>1.90925</v>
      </c>
      <c r="AH11" s="46" t="n">
        <f aca="false">SUM(_Engine_R50!D127:D129)</f>
        <v>1.90925</v>
      </c>
      <c r="AI11" s="46" t="n">
        <f aca="false">SUM(_Engine_R50!D130:D132)</f>
        <v>1.90925</v>
      </c>
      <c r="AJ11" s="46" t="n">
        <f aca="false">SUM(_Engine_R50!D133:D135)</f>
        <v>1.90925</v>
      </c>
      <c r="AK11" s="46" t="n">
        <f aca="false">SUM(_Engine_R50!D136:D138)</f>
        <v>1.90925</v>
      </c>
      <c r="AL11" s="46" t="n">
        <f aca="false">SUM(_Engine_R50!D139:D141)</f>
        <v>1.90925</v>
      </c>
      <c r="AM11" s="46" t="n">
        <f aca="false">SUM(_Engine_R50!D142:D144)</f>
        <v>1.90925</v>
      </c>
      <c r="AN11" s="46" t="n">
        <f aca="false">SUM(_Engine_R50!D145:D147)</f>
        <v>1.90925</v>
      </c>
      <c r="AO11" s="46" t="n">
        <f aca="false">SUM(_Engine_R50!D148:D150)</f>
        <v>1.90925</v>
      </c>
      <c r="AP11" s="46" t="n">
        <f aca="false">SUM(_Engine_R50!D151:D153)</f>
        <v>1.90925</v>
      </c>
      <c r="AQ11" s="46" t="n">
        <f aca="false">SUM(_Engine_R50!D154:D156)</f>
        <v>1.90925</v>
      </c>
      <c r="AR11" s="46" t="n">
        <f aca="false">SUM(_Engine_R50!D157:D159)</f>
        <v>1.90925</v>
      </c>
      <c r="AS11" s="46" t="n">
        <f aca="false">SUM(_Engine_R50!D160:D162)</f>
        <v>1.90925</v>
      </c>
      <c r="AT11" s="46" t="n">
        <f aca="false">SUM(_Engine_R50!D163:D165)</f>
        <v>1.90925</v>
      </c>
      <c r="AU11" s="46" t="n">
        <f aca="false">SUM(_Engine_R50!D166:D168)</f>
        <v>1.90925</v>
      </c>
      <c r="AV11" s="46" t="n">
        <f aca="false">SUM(_Engine_R50!D169:D171)</f>
        <v>1.90925</v>
      </c>
      <c r="AW11" s="46" t="n">
        <f aca="false">SUM(_Engine_R50!D172:D174)</f>
        <v>1.90925</v>
      </c>
      <c r="AX11" s="46" t="n">
        <f aca="false">SUM(_Engine_R50!D175:D177)</f>
        <v>1.90925</v>
      </c>
      <c r="AY11" s="46" t="n">
        <f aca="false">SUM(_Engine_R50!D178:D180)</f>
        <v>1.90925</v>
      </c>
      <c r="AZ11" s="46" t="n">
        <f aca="false">SUM(_Engine_R50!D181:D183)</f>
        <v>1.90925</v>
      </c>
      <c r="BA11" s="46" t="n">
        <f aca="false">SUM(_Engine_R50!D184:D186)</f>
        <v>1.90925</v>
      </c>
      <c r="BB11" s="46" t="n">
        <f aca="false">SUM(_Engine_R50!D187:D189)</f>
        <v>1.90925</v>
      </c>
      <c r="BC11" s="46" t="n">
        <f aca="false">SUM(_Engine_R50!D190:D192)</f>
        <v>1.90925</v>
      </c>
      <c r="BD11" s="46" t="n">
        <f aca="false">SUM(_Engine_R50!D193:D195)</f>
        <v>1.90925</v>
      </c>
      <c r="BE11" s="46" t="n">
        <f aca="false">SUM(_Engine_R50!D196:D198)</f>
        <v>1.90925</v>
      </c>
      <c r="BF11" s="46" t="n">
        <f aca="false">SUM(_Engine_R50!D199:D201)</f>
        <v>1.90925</v>
      </c>
      <c r="BG11" s="46" t="n">
        <f aca="false">SUM(_Engine_R50!D202:D204)</f>
        <v>1.90925</v>
      </c>
      <c r="BH11" s="46" t="n">
        <f aca="false">SUM(_Engine_R50!D205:D207)</f>
        <v>1.90925</v>
      </c>
      <c r="BI11" s="46" t="n">
        <f aca="false">SUM(_Engine_R50!D208:D210)</f>
        <v>1.90925</v>
      </c>
      <c r="BJ11" s="1"/>
    </row>
    <row r="12" customFormat="false" ht="15" hidden="false" customHeight="true" outlineLevel="0" collapsed="false">
      <c r="A12" s="17" t="s">
        <v>496</v>
      </c>
      <c r="B12" s="46" t="n">
        <f aca="false">SUM(_Engine_R50!E31:E33)</f>
        <v>0</v>
      </c>
      <c r="C12" s="46" t="n">
        <f aca="false">SUM(_Engine_R50!E34:E36)</f>
        <v>2.94</v>
      </c>
      <c r="D12" s="46" t="n">
        <f aca="false">SUM(_Engine_R50!E37:E39)</f>
        <v>3.40666666666667</v>
      </c>
      <c r="E12" s="46" t="n">
        <f aca="false">SUM(_Engine_R50!E40:E42)</f>
        <v>3.60888888888889</v>
      </c>
      <c r="F12" s="46" t="n">
        <f aca="false">SUM(_Engine_R50!E43:E45)</f>
        <v>3.54666666666667</v>
      </c>
      <c r="G12" s="46" t="n">
        <f aca="false">SUM(_Engine_R50!E46:E48)</f>
        <v>4.74703703703704</v>
      </c>
      <c r="H12" s="46" t="n">
        <f aca="false">SUM(_Engine_R50!E49:E51)</f>
        <v>2.54333333333333</v>
      </c>
      <c r="I12" s="46" t="n">
        <f aca="false">SUM(_Engine_R50!E52:E54)</f>
        <v>1.55555555555556</v>
      </c>
      <c r="J12" s="46" t="n">
        <f aca="false">SUM(_Engine_R50!E55:E57)</f>
        <v>1.08888888888889</v>
      </c>
      <c r="K12" s="46" t="n">
        <f aca="false">SUM(_Engine_R50!E58:E60)</f>
        <v>0.7</v>
      </c>
      <c r="L12" s="46" t="n">
        <f aca="false">SUM(_Engine_R50!E61:E63)</f>
        <v>2.53555555555556</v>
      </c>
      <c r="M12" s="46" t="n">
        <f aca="false">SUM(_Engine_R50!E64:E66)</f>
        <v>1.98851851851852</v>
      </c>
      <c r="N12" s="46" t="n">
        <f aca="false">SUM(_Engine_R50!E67:E69)</f>
        <v>0.7</v>
      </c>
      <c r="O12" s="46" t="n">
        <f aca="false">SUM(_Engine_R50!E70:E72)</f>
        <v>0.544444444444444</v>
      </c>
      <c r="P12" s="46" t="n">
        <f aca="false">SUM(_Engine_R50!E73:E75)</f>
        <v>0.427777777777778</v>
      </c>
      <c r="Q12" s="46" t="n">
        <f aca="false">SUM(_Engine_R50!E76:E78)</f>
        <v>0.311111111111111</v>
      </c>
      <c r="R12" s="46" t="n">
        <f aca="false">SUM(_Engine_R50!E79:E81)</f>
        <v>0.194444444444444</v>
      </c>
      <c r="S12" s="46" t="n">
        <f aca="false">SUM(_Engine_R50!E82:E84)</f>
        <v>0.0777777777777778</v>
      </c>
      <c r="T12" s="46" t="n">
        <f aca="false">SUM(_Engine_R50!E85:E87)</f>
        <v>0</v>
      </c>
      <c r="U12" s="46" t="n">
        <f aca="false">SUM(_Engine_R50!E88:E90)</f>
        <v>0</v>
      </c>
      <c r="V12" s="46" t="n">
        <f aca="false">SUM(_Engine_R50!E91:E93)</f>
        <v>0</v>
      </c>
      <c r="W12" s="46" t="n">
        <f aca="false">SUM(_Engine_R50!E94:E96)</f>
        <v>0</v>
      </c>
      <c r="X12" s="46" t="n">
        <f aca="false">SUM(_Engine_R50!E97:E99)</f>
        <v>0</v>
      </c>
      <c r="Y12" s="46" t="n">
        <f aca="false">SUM(_Engine_R50!E100:E102)</f>
        <v>0</v>
      </c>
      <c r="Z12" s="46" t="n">
        <f aca="false">SUM(_Engine_R50!E103:E105)</f>
        <v>0</v>
      </c>
      <c r="AA12" s="46" t="n">
        <f aca="false">SUM(_Engine_R50!E106:E108)</f>
        <v>0</v>
      </c>
      <c r="AB12" s="46" t="n">
        <f aca="false">SUM(_Engine_R50!E109:E111)</f>
        <v>0</v>
      </c>
      <c r="AC12" s="46" t="n">
        <f aca="false">SUM(_Engine_R50!E112:E114)</f>
        <v>0</v>
      </c>
      <c r="AD12" s="46" t="n">
        <f aca="false">SUM(_Engine_R50!E115:E117)</f>
        <v>0</v>
      </c>
      <c r="AE12" s="46" t="n">
        <f aca="false">SUM(_Engine_R50!E118:E120)</f>
        <v>0</v>
      </c>
      <c r="AF12" s="46" t="n">
        <f aca="false">SUM(_Engine_R50!E121:E123)</f>
        <v>0</v>
      </c>
      <c r="AG12" s="46" t="n">
        <f aca="false">SUM(_Engine_R50!E124:E126)</f>
        <v>0</v>
      </c>
      <c r="AH12" s="46" t="n">
        <f aca="false">SUM(_Engine_R50!E127:E129)</f>
        <v>0</v>
      </c>
      <c r="AI12" s="46" t="n">
        <f aca="false">SUM(_Engine_R50!E130:E132)</f>
        <v>0</v>
      </c>
      <c r="AJ12" s="46" t="n">
        <f aca="false">SUM(_Engine_R50!E133:E135)</f>
        <v>0</v>
      </c>
      <c r="AK12" s="46" t="n">
        <f aca="false">SUM(_Engine_R50!E136:E138)</f>
        <v>0</v>
      </c>
      <c r="AL12" s="46" t="n">
        <f aca="false">SUM(_Engine_R50!E139:E141)</f>
        <v>0</v>
      </c>
      <c r="AM12" s="46" t="n">
        <f aca="false">SUM(_Engine_R50!E142:E144)</f>
        <v>0</v>
      </c>
      <c r="AN12" s="46" t="n">
        <f aca="false">SUM(_Engine_R50!E145:E147)</f>
        <v>0</v>
      </c>
      <c r="AO12" s="46" t="n">
        <f aca="false">SUM(_Engine_R50!E148:E150)</f>
        <v>0</v>
      </c>
      <c r="AP12" s="46" t="n">
        <f aca="false">SUM(_Engine_R50!E151:E153)</f>
        <v>0</v>
      </c>
      <c r="AQ12" s="46" t="n">
        <f aca="false">SUM(_Engine_R50!E154:E156)</f>
        <v>0</v>
      </c>
      <c r="AR12" s="46" t="n">
        <f aca="false">SUM(_Engine_R50!E157:E159)</f>
        <v>0</v>
      </c>
      <c r="AS12" s="46" t="n">
        <f aca="false">SUM(_Engine_R50!E160:E162)</f>
        <v>0</v>
      </c>
      <c r="AT12" s="46" t="n">
        <f aca="false">SUM(_Engine_R50!E163:E165)</f>
        <v>0</v>
      </c>
      <c r="AU12" s="46" t="n">
        <f aca="false">SUM(_Engine_R50!E166:E168)</f>
        <v>0</v>
      </c>
      <c r="AV12" s="46" t="n">
        <f aca="false">SUM(_Engine_R50!E169:E171)</f>
        <v>0</v>
      </c>
      <c r="AW12" s="46" t="n">
        <f aca="false">SUM(_Engine_R50!E172:E174)</f>
        <v>0</v>
      </c>
      <c r="AX12" s="46" t="n">
        <f aca="false">SUM(_Engine_R50!E175:E177)</f>
        <v>0</v>
      </c>
      <c r="AY12" s="46" t="n">
        <f aca="false">SUM(_Engine_R50!E178:E180)</f>
        <v>0</v>
      </c>
      <c r="AZ12" s="46" t="n">
        <f aca="false">SUM(_Engine_R50!E181:E183)</f>
        <v>0</v>
      </c>
      <c r="BA12" s="46" t="n">
        <f aca="false">SUM(_Engine_R50!E184:E186)</f>
        <v>0</v>
      </c>
      <c r="BB12" s="46" t="n">
        <f aca="false">SUM(_Engine_R50!E187:E189)</f>
        <v>0</v>
      </c>
      <c r="BC12" s="46" t="n">
        <f aca="false">SUM(_Engine_R50!E190:E192)</f>
        <v>0</v>
      </c>
      <c r="BD12" s="46" t="n">
        <f aca="false">SUM(_Engine_R50!E193:E195)</f>
        <v>0</v>
      </c>
      <c r="BE12" s="46" t="n">
        <f aca="false">SUM(_Engine_R50!E196:E198)</f>
        <v>0</v>
      </c>
      <c r="BF12" s="46" t="n">
        <f aca="false">SUM(_Engine_R50!E199:E201)</f>
        <v>0</v>
      </c>
      <c r="BG12" s="46" t="n">
        <f aca="false">SUM(_Engine_R50!E202:E204)</f>
        <v>0</v>
      </c>
      <c r="BH12" s="46" t="n">
        <f aca="false">SUM(_Engine_R50!E205:E207)</f>
        <v>0</v>
      </c>
      <c r="BI12" s="46" t="n">
        <f aca="false">SUM(_Engine_R50!E208:E210)</f>
        <v>0</v>
      </c>
      <c r="BJ12" s="1"/>
    </row>
    <row r="13" customFormat="false" ht="15" hidden="false" customHeight="true" outlineLevel="0" collapsed="false">
      <c r="A13" s="17" t="s">
        <v>242</v>
      </c>
      <c r="B13" s="46" t="n">
        <f aca="false">SUM(_Engine_R50!U31:U33)</f>
        <v>0</v>
      </c>
      <c r="C13" s="46" t="n">
        <f aca="false">SUM(_Engine_R50!U34:U36)</f>
        <v>0</v>
      </c>
      <c r="D13" s="46" t="n">
        <f aca="false">SUM(_Engine_R50!U37:U39)</f>
        <v>0</v>
      </c>
      <c r="E13" s="46" t="n">
        <f aca="false">SUM(_Engine_R50!U40:U42)</f>
        <v>0</v>
      </c>
      <c r="F13" s="46" t="n">
        <f aca="false">SUM(_Engine_R50!U43:U45)</f>
        <v>0</v>
      </c>
      <c r="G13" s="46" t="n">
        <f aca="false">SUM(_Engine_R50!U46:U48)</f>
        <v>0</v>
      </c>
      <c r="H13" s="46" t="n">
        <f aca="false">SUM(_Engine_R50!U49:U51)</f>
        <v>0</v>
      </c>
      <c r="I13" s="46" t="n">
        <f aca="false">SUM(_Engine_R50!U52:U54)</f>
        <v>0</v>
      </c>
      <c r="J13" s="46" t="n">
        <f aca="false">SUM(_Engine_R50!U55:U57)</f>
        <v>0</v>
      </c>
      <c r="K13" s="46" t="n">
        <f aca="false">SUM(_Engine_R50!U58:U60)</f>
        <v>0</v>
      </c>
      <c r="L13" s="46" t="n">
        <f aca="false">SUM(_Engine_R50!U61:U63)</f>
        <v>0</v>
      </c>
      <c r="M13" s="46" t="n">
        <f aca="false">SUM(_Engine_R50!U64:U66)</f>
        <v>0</v>
      </c>
      <c r="N13" s="46" t="n">
        <f aca="false">SUM(_Engine_R50!U67:U69)</f>
        <v>0</v>
      </c>
      <c r="O13" s="46" t="n">
        <f aca="false">SUM(_Engine_R50!U70:U72)</f>
        <v>0</v>
      </c>
      <c r="P13" s="46" t="n">
        <f aca="false">SUM(_Engine_R50!U73:U75)</f>
        <v>0</v>
      </c>
      <c r="Q13" s="46" t="n">
        <f aca="false">SUM(_Engine_R50!U76:U78)</f>
        <v>0</v>
      </c>
      <c r="R13" s="46" t="n">
        <f aca="false">SUM(_Engine_R50!U79:U81)</f>
        <v>0</v>
      </c>
      <c r="S13" s="46" t="n">
        <f aca="false">SUM(_Engine_R50!U82:U84)</f>
        <v>0</v>
      </c>
      <c r="T13" s="46" t="n">
        <f aca="false">SUM(_Engine_R50!U85:U87)</f>
        <v>0</v>
      </c>
      <c r="U13" s="46" t="n">
        <f aca="false">SUM(_Engine_R50!U88:U90)</f>
        <v>0</v>
      </c>
      <c r="V13" s="46" t="n">
        <f aca="false">SUM(_Engine_R50!U91:U93)</f>
        <v>0</v>
      </c>
      <c r="W13" s="46" t="n">
        <f aca="false">SUM(_Engine_R50!U94:U96)</f>
        <v>0</v>
      </c>
      <c r="X13" s="46" t="n">
        <f aca="false">SUM(_Engine_R50!U97:U99)</f>
        <v>0</v>
      </c>
      <c r="Y13" s="46" t="n">
        <f aca="false">SUM(_Engine_R50!U100:U102)</f>
        <v>0</v>
      </c>
      <c r="Z13" s="46" t="n">
        <f aca="false">SUM(_Engine_R50!U103:U105)</f>
        <v>0</v>
      </c>
      <c r="AA13" s="46" t="n">
        <f aca="false">SUM(_Engine_R50!U106:U108)</f>
        <v>0</v>
      </c>
      <c r="AB13" s="46" t="n">
        <f aca="false">SUM(_Engine_R50!U109:U111)</f>
        <v>0</v>
      </c>
      <c r="AC13" s="46" t="n">
        <f aca="false">SUM(_Engine_R50!U112:U114)</f>
        <v>0</v>
      </c>
      <c r="AD13" s="46" t="n">
        <f aca="false">SUM(_Engine_R50!U115:U117)</f>
        <v>0</v>
      </c>
      <c r="AE13" s="46" t="n">
        <f aca="false">SUM(_Engine_R50!U118:U120)</f>
        <v>0</v>
      </c>
      <c r="AF13" s="46" t="n">
        <f aca="false">SUM(_Engine_R50!U121:U123)</f>
        <v>0</v>
      </c>
      <c r="AG13" s="46" t="n">
        <f aca="false">SUM(_Engine_R50!U124:U126)</f>
        <v>0</v>
      </c>
      <c r="AH13" s="46" t="n">
        <f aca="false">SUM(_Engine_R50!U127:U129)</f>
        <v>0</v>
      </c>
      <c r="AI13" s="46" t="n">
        <f aca="false">SUM(_Engine_R50!U130:U132)</f>
        <v>0</v>
      </c>
      <c r="AJ13" s="46" t="n">
        <f aca="false">SUM(_Engine_R50!U133:U135)</f>
        <v>0</v>
      </c>
      <c r="AK13" s="46" t="n">
        <f aca="false">SUM(_Engine_R50!U136:U138)</f>
        <v>0</v>
      </c>
      <c r="AL13" s="46" t="n">
        <f aca="false">SUM(_Engine_R50!U139:U141)</f>
        <v>0</v>
      </c>
      <c r="AM13" s="46" t="n">
        <f aca="false">SUM(_Engine_R50!U142:U144)</f>
        <v>0</v>
      </c>
      <c r="AN13" s="46" t="n">
        <f aca="false">SUM(_Engine_R50!U145:U147)</f>
        <v>0</v>
      </c>
      <c r="AO13" s="46" t="n">
        <f aca="false">SUM(_Engine_R50!U148:U150)</f>
        <v>0</v>
      </c>
      <c r="AP13" s="46" t="n">
        <f aca="false">SUM(_Engine_R50!U151:U153)</f>
        <v>0</v>
      </c>
      <c r="AQ13" s="46" t="n">
        <f aca="false">SUM(_Engine_R50!U154:U156)</f>
        <v>0</v>
      </c>
      <c r="AR13" s="46" t="n">
        <f aca="false">SUM(_Engine_R50!U157:U159)</f>
        <v>0</v>
      </c>
      <c r="AS13" s="46" t="n">
        <f aca="false">SUM(_Engine_R50!U160:U162)</f>
        <v>0</v>
      </c>
      <c r="AT13" s="46" t="n">
        <f aca="false">SUM(_Engine_R50!U163:U165)</f>
        <v>0</v>
      </c>
      <c r="AU13" s="46" t="n">
        <f aca="false">SUM(_Engine_R50!U166:U168)</f>
        <v>0</v>
      </c>
      <c r="AV13" s="46" t="n">
        <f aca="false">SUM(_Engine_R50!U169:U171)</f>
        <v>0</v>
      </c>
      <c r="AW13" s="46" t="n">
        <f aca="false">SUM(_Engine_R50!U172:U174)</f>
        <v>0</v>
      </c>
      <c r="AX13" s="46" t="n">
        <f aca="false">SUM(_Engine_R50!U175:U177)</f>
        <v>0</v>
      </c>
      <c r="AY13" s="46" t="n">
        <f aca="false">SUM(_Engine_R50!U178:U180)</f>
        <v>0</v>
      </c>
      <c r="AZ13" s="46" t="n">
        <f aca="false">SUM(_Engine_R50!U181:U183)</f>
        <v>0</v>
      </c>
      <c r="BA13" s="46" t="n">
        <f aca="false">SUM(_Engine_R50!U184:U186)</f>
        <v>0</v>
      </c>
      <c r="BB13" s="46" t="n">
        <f aca="false">SUM(_Engine_R50!U187:U189)</f>
        <v>0</v>
      </c>
      <c r="BC13" s="46" t="n">
        <f aca="false">SUM(_Engine_R50!U190:U192)</f>
        <v>0</v>
      </c>
      <c r="BD13" s="46" t="n">
        <f aca="false">SUM(_Engine_R50!U193:U195)</f>
        <v>0</v>
      </c>
      <c r="BE13" s="46" t="n">
        <f aca="false">SUM(_Engine_R50!U196:U198)</f>
        <v>0</v>
      </c>
      <c r="BF13" s="46" t="n">
        <f aca="false">SUM(_Engine_R50!U199:U201)</f>
        <v>0</v>
      </c>
      <c r="BG13" s="46" t="n">
        <f aca="false">SUM(_Engine_R50!U202:U204)</f>
        <v>0</v>
      </c>
      <c r="BH13" s="46" t="n">
        <f aca="false">SUM(_Engine_R50!U205:U207)</f>
        <v>0</v>
      </c>
      <c r="BI13" s="46" t="n">
        <f aca="false">SUM(_Engine_R50!U208:U210)</f>
        <v>0</v>
      </c>
      <c r="BJ13" s="1"/>
    </row>
    <row r="14" customFormat="false" ht="15" hidden="false" customHeight="true" outlineLevel="0" collapsed="false">
      <c r="A14" s="171" t="s">
        <v>497</v>
      </c>
      <c r="B14" s="173" t="n">
        <f aca="false">B9+B10+B11+B12+B13+B6</f>
        <v>0.864317475</v>
      </c>
      <c r="C14" s="173" t="n">
        <f aca="false">C9+C10+C11+C12+C13+C6</f>
        <v>5.11122720351757</v>
      </c>
      <c r="D14" s="173" t="n">
        <f aca="false">D9+D10+D11+D12+D13+D6</f>
        <v>6.43241748376777</v>
      </c>
      <c r="E14" s="173" t="n">
        <f aca="false">E9+E10+E11+E12+E13+E6</f>
        <v>7.46293716613456</v>
      </c>
      <c r="F14" s="173" t="n">
        <f aca="false">F9+F10+F11+F12+F13+F6</f>
        <v>9.22606845131719</v>
      </c>
      <c r="G14" s="173" t="n">
        <f aca="false">G9+G10+G11+G12+G13+G6</f>
        <v>11.6221044707432</v>
      </c>
      <c r="H14" s="173" t="n">
        <f aca="false">H9+H10+H11+H12+H13+H6</f>
        <v>9.27065586467405</v>
      </c>
      <c r="I14" s="173" t="n">
        <f aca="false">I9+I10+I11+I12+I13+I6</f>
        <v>8.14015171940832</v>
      </c>
      <c r="J14" s="173" t="n">
        <f aca="false">J9+J10+J11+J12+J13+J6</f>
        <v>7.54571321365968</v>
      </c>
      <c r="K14" s="173" t="n">
        <f aca="false">K9+K10+K11+K12+K13+K6</f>
        <v>7.02359285611924</v>
      </c>
      <c r="L14" s="173" t="n">
        <f aca="false">L9+L10+L11+L12+L13+L6</f>
        <v>9.35906331143762</v>
      </c>
      <c r="M14" s="173" t="n">
        <f aca="false">M9+M10+M11+M12+M13+M6</f>
        <v>8.99192022382625</v>
      </c>
      <c r="N14" s="173" t="n">
        <f aca="false">N9+N10+N11+N12+N13+N6</f>
        <v>7.57126973362941</v>
      </c>
      <c r="O14" s="173" t="n">
        <f aca="false">O9+O10+O11+O12+O13+O6</f>
        <v>7.28775267829484</v>
      </c>
      <c r="P14" s="173" t="n">
        <f aca="false">P9+P10+P11+P12+P13+P6</f>
        <v>7.04714775904158</v>
      </c>
      <c r="Q14" s="173" t="n">
        <f aca="false">Q9+Q10+Q11+Q12+Q13+Q6</f>
        <v>6.81042435605295</v>
      </c>
      <c r="R14" s="173" t="n">
        <f aca="false">R9+R10+R11+R12+R13+R6</f>
        <v>6.57744602146469</v>
      </c>
      <c r="S14" s="173" t="n">
        <f aca="false">S9+S10+S11+S12+S13+S6</f>
        <v>6.34808138796151</v>
      </c>
      <c r="T14" s="173" t="n">
        <f aca="false">T9+T10+T11+T12+T13+T6</f>
        <v>6.16109286303037</v>
      </c>
      <c r="U14" s="173" t="n">
        <f aca="false">U9+U10+U11+U12+U13+U6</f>
        <v>6.05524755300586</v>
      </c>
      <c r="V14" s="173" t="n">
        <f aca="false">V9+V10+V11+V12+V13+V6</f>
        <v>5.95265041661074</v>
      </c>
      <c r="W14" s="173" t="n">
        <f aca="false">W9+W10+W11+W12+W13+W6</f>
        <v>5.85318853659513</v>
      </c>
      <c r="X14" s="173" t="n">
        <f aca="false">X9+X10+X11+X12+X13+X6</f>
        <v>5.75675317586719</v>
      </c>
      <c r="Y14" s="173" t="n">
        <f aca="false">Y9+Y10+Y11+Y12+Y13+Y6</f>
        <v>5.66323961785191</v>
      </c>
      <c r="Z14" s="173" t="n">
        <f aca="false">Z9+Z10+Z11+Z12+Z13+Z6</f>
        <v>5.57254701304752</v>
      </c>
      <c r="AA14" s="173" t="n">
        <f aca="false">AA9+AA10+AA11+AA12+AA13+AA6</f>
        <v>5.48457823153661</v>
      </c>
      <c r="AB14" s="173" t="n">
        <f aca="false">AB9+AB10+AB11+AB12+AB13+AB6</f>
        <v>5.39923972121867</v>
      </c>
      <c r="AC14" s="173" t="n">
        <f aca="false">AC9+AC10+AC11+AC12+AC13+AC6</f>
        <v>5.31644137153991</v>
      </c>
      <c r="AD14" s="173" t="n">
        <f aca="false">AD9+AD10+AD11+AD12+AD13+AD6</f>
        <v>5.2360963825052</v>
      </c>
      <c r="AE14" s="173" t="n">
        <f aca="false">AE9+AE10+AE11+AE12+AE13+AE6</f>
        <v>5.1581211387652</v>
      </c>
      <c r="AF14" s="173" t="n">
        <f aca="false">AF9+AF10+AF11+AF12+AF13+AF6</f>
        <v>5.08243508858011</v>
      </c>
      <c r="AG14" s="173" t="n">
        <f aca="false">AG9+AG10+AG11+AG12+AG13+AG6</f>
        <v>5.00896062746925</v>
      </c>
      <c r="AH14" s="173" t="n">
        <f aca="false">AH9+AH10+AH11+AH12+AH13+AH6</f>
        <v>4.93762298636304</v>
      </c>
      <c r="AI14" s="173" t="n">
        <f aca="false">AI9+AI10+AI11+AI12+AI13+AI6</f>
        <v>4.86835012408142</v>
      </c>
      <c r="AJ14" s="173" t="n">
        <f aca="false">AJ9+AJ10+AJ11+AJ12+AJ13+AJ6</f>
        <v>4.80107262396947</v>
      </c>
      <c r="AK14" s="173" t="n">
        <f aca="false">AK9+AK10+AK11+AK12+AK13+AK6</f>
        <v>4.73572359452773</v>
      </c>
      <c r="AL14" s="173" t="n">
        <f aca="false">AL9+AL10+AL11+AL12+AL13+AL6</f>
        <v>4.67223857388113</v>
      </c>
      <c r="AM14" s="173" t="n">
        <f aca="false">AM9+AM10+AM11+AM12+AM13+AM6</f>
        <v>4.61055543793656</v>
      </c>
      <c r="AN14" s="173" t="n">
        <f aca="false">AN9+AN10+AN11+AN12+AN13+AN6</f>
        <v>4.55061431208502</v>
      </c>
      <c r="AO14" s="173" t="n">
        <f aca="false">AO9+AO10+AO11+AO12+AO13+AO6</f>
        <v>4.49235748630989</v>
      </c>
      <c r="AP14" s="173" t="n">
        <f aca="false">AP9+AP10+AP11+AP12+AP13+AP6</f>
        <v>4.43572933356841</v>
      </c>
      <c r="AQ14" s="173" t="n">
        <f aca="false">AQ9+AQ10+AQ11+AQ12+AQ13+AQ6</f>
        <v>4.38067623131866</v>
      </c>
      <c r="AR14" s="173" t="n">
        <f aca="false">AR9+AR10+AR11+AR12+AR13+AR6</f>
        <v>4.32714648606925</v>
      </c>
      <c r="AS14" s="173" t="n">
        <f aca="false">AS9+AS10+AS11+AS12+AS13+AS6</f>
        <v>4.27509026083391</v>
      </c>
      <c r="AT14" s="173" t="n">
        <f aca="false">AT9+AT10+AT11+AT12+AT13+AT6</f>
        <v>4.22445950537761</v>
      </c>
      <c r="AU14" s="173" t="n">
        <f aca="false">AU9+AU10+AU11+AU12+AU13+AU6</f>
        <v>4.17520788914556</v>
      </c>
      <c r="AV14" s="173" t="n">
        <f aca="false">AV9+AV10+AV11+AV12+AV13+AV6</f>
        <v>4.12729073677042</v>
      </c>
      <c r="AW14" s="173" t="n">
        <f aca="false">AW9+AW10+AW11+AW12+AW13+AW6</f>
        <v>4.08066496605734</v>
      </c>
      <c r="AX14" s="173" t="n">
        <f aca="false">AX9+AX10+AX11+AX12+AX13+AX6</f>
        <v>4.03528902835034</v>
      </c>
      <c r="AY14" s="173" t="n">
        <f aca="false">AY9+AY10+AY11+AY12+AY13+AY6</f>
        <v>3.99112285118735</v>
      </c>
      <c r="AZ14" s="173" t="n">
        <f aca="false">AZ9+AZ10+AZ11+AZ12+AZ13+AZ6</f>
        <v>3.94812778315479</v>
      </c>
      <c r="BA14" s="173" t="n">
        <f aca="false">BA9+BA10+BA11+BA12+BA13+BA6</f>
        <v>3.9062665408562</v>
      </c>
      <c r="BB14" s="173" t="n">
        <f aca="false">BB9+BB10+BB11+BB12+BB13+BB6</f>
        <v>3.86550315791262</v>
      </c>
      <c r="BC14" s="173" t="n">
        <f aca="false">BC9+BC10+BC11+BC12+BC13+BC6</f>
        <v>3.82580293591585</v>
      </c>
      <c r="BD14" s="173" t="n">
        <f aca="false">BD9+BD10+BD11+BD12+BD13+BD6</f>
        <v>3.78713239725859</v>
      </c>
      <c r="BE14" s="173" t="n">
        <f aca="false">BE9+BE10+BE11+BE12+BE13+BE6</f>
        <v>3.7494592397686</v>
      </c>
      <c r="BF14" s="173" t="n">
        <f aca="false">BF9+BF10+BF11+BF12+BF13+BF6</f>
        <v>3.71275229307679</v>
      </c>
      <c r="BG14" s="173" t="n">
        <f aca="false">BG9+BG10+BG11+BG12+BG13+BG6</f>
        <v>3.67698147665203</v>
      </c>
      <c r="BH14" s="173" t="n">
        <f aca="false">BH9+BH10+BH11+BH12+BH13+BH6</f>
        <v>3.64211775943784</v>
      </c>
      <c r="BI14" s="173" t="n">
        <f aca="false">BI9+BI10+BI11+BI12+BI13+BI6</f>
        <v>3.60813312102896</v>
      </c>
      <c r="BJ14" s="174"/>
    </row>
    <row r="15" customFormat="false" ht="15" hidden="false" customHeight="true" outlineLevel="0" collapsed="false">
      <c r="A15" s="18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"/>
    </row>
    <row r="16" customFormat="false" ht="15" hidden="false" customHeight="true" outlineLevel="0" collapsed="false">
      <c r="A16" s="18" t="s">
        <v>244</v>
      </c>
      <c r="B16" s="177" t="n">
        <f aca="false">SUM(_Engine_R50!V31:V33)</f>
        <v>-0.864317475</v>
      </c>
      <c r="C16" s="177" t="n">
        <f aca="false">SUM(_Engine_R50!V34:V36)</f>
        <v>1.11215245608991</v>
      </c>
      <c r="D16" s="177" t="n">
        <f aca="false">SUM(_Engine_R50!V37:V39)</f>
        <v>3.86012224052321</v>
      </c>
      <c r="E16" s="177" t="n">
        <f aca="false">SUM(_Engine_R50!V40:V42)</f>
        <v>6.77387617789244</v>
      </c>
      <c r="F16" s="177" t="n">
        <f aca="false">SUM(_Engine_R50!V43:V45)</f>
        <v>8.7752211184472</v>
      </c>
      <c r="G16" s="177" t="n">
        <f aca="false">SUM(_Engine_R50!V46:V48)</f>
        <v>12.0728310469051</v>
      </c>
      <c r="H16" s="177" t="n">
        <f aca="false">SUM(_Engine_R50!V49:V51)</f>
        <v>13.7207324988532</v>
      </c>
      <c r="I16" s="177" t="n">
        <f aca="false">SUM(_Engine_R50!V52:V54)</f>
        <v>14.1715872751286</v>
      </c>
      <c r="J16" s="177" t="n">
        <f aca="false">SUM(_Engine_R50!V55:V57)</f>
        <v>14.1094026185822</v>
      </c>
      <c r="K16" s="177" t="n">
        <f aca="false">SUM(_Engine_R50!V58:V60)</f>
        <v>13.9970874111152</v>
      </c>
      <c r="L16" s="177" t="n">
        <f aca="false">SUM(_Engine_R50!V61:V63)</f>
        <v>14.0421640975246</v>
      </c>
      <c r="M16" s="177" t="n">
        <f aca="false">SUM(_Engine_R50!V64:V66)</f>
        <v>15.2659450395439</v>
      </c>
      <c r="N16" s="177" t="n">
        <f aca="false">SUM(_Engine_R50!V67:V69)</f>
        <v>16.0573956646059</v>
      </c>
      <c r="O16" s="177" t="n">
        <f aca="false">SUM(_Engine_R50!V70:V72)</f>
        <v>15.7315722448023</v>
      </c>
      <c r="P16" s="177" t="n">
        <f aca="false">SUM(_Engine_R50!V73:V75)</f>
        <v>15.3819950088813</v>
      </c>
      <c r="Q16" s="177" t="n">
        <f aca="false">SUM(_Engine_R50!V76:V78)</f>
        <v>15.0470196674796</v>
      </c>
      <c r="R16" s="177" t="n">
        <f aca="false">SUM(_Engine_R50!V79:V81)</f>
        <v>14.726132916727</v>
      </c>
      <c r="S16" s="177" t="n">
        <f aca="false">SUM(_Engine_R50!V82:V84)</f>
        <v>14.4188405652944</v>
      </c>
      <c r="T16" s="177" t="n">
        <f aca="false">SUM(_Engine_R50!V85:V87)</f>
        <v>14.0857779133047</v>
      </c>
      <c r="U16" s="177" t="n">
        <f aca="false">SUM(_Engine_R50!V88:V90)</f>
        <v>13.6875979374982</v>
      </c>
      <c r="V16" s="177" t="n">
        <f aca="false">SUM(_Engine_R50!V91:V93)</f>
        <v>13.3016372815356</v>
      </c>
      <c r="W16" s="177" t="n">
        <f aca="false">SUM(_Engine_R50!V94:V96)</f>
        <v>12.9274711614769</v>
      </c>
      <c r="X16" s="177" t="n">
        <f aca="false">SUM(_Engine_R50!V97:V99)</f>
        <v>12.5646905187385</v>
      </c>
      <c r="Y16" s="177" t="n">
        <f aca="false">SUM(_Engine_R50!V100:V102)</f>
        <v>12.2129014195381</v>
      </c>
      <c r="Z16" s="177" t="n">
        <f aca="false">SUM(_Engine_R50!V103:V105)</f>
        <v>11.871724477655</v>
      </c>
      <c r="AA16" s="177" t="n">
        <f aca="false">SUM(_Engine_R50!V106:V108)</f>
        <v>11.5407942995901</v>
      </c>
      <c r="AB16" s="177" t="n">
        <f aca="false">SUM(_Engine_R50!V109:V111)</f>
        <v>11.2197589512512</v>
      </c>
      <c r="AC16" s="177" t="n">
        <f aca="false">SUM(_Engine_R50!V112:V114)</f>
        <v>10.9082794453168</v>
      </c>
      <c r="AD16" s="177" t="n">
        <f aca="false">SUM(_Engine_R50!V115:V117)</f>
        <v>10.6060292484719</v>
      </c>
      <c r="AE16" s="177" t="n">
        <f aca="false">SUM(_Engine_R50!V118:V120)</f>
        <v>10.3126938077357</v>
      </c>
      <c r="AF16" s="177" t="n">
        <f aca="false">SUM(_Engine_R50!V121:V123)</f>
        <v>10.0279700951347</v>
      </c>
      <c r="AG16" s="177" t="n">
        <f aca="false">SUM(_Engine_R50!V124:V126)</f>
        <v>9.75156617000338</v>
      </c>
      <c r="AH16" s="177" t="n">
        <f aca="false">SUM(_Engine_R50!V127:V129)</f>
        <v>9.48320075822287</v>
      </c>
      <c r="AI16" s="177" t="n">
        <f aca="false">SUM(_Engine_R50!V130:V132)</f>
        <v>9.22260284773488</v>
      </c>
      <c r="AJ16" s="177" t="n">
        <f aca="false">SUM(_Engine_R50!V133:V135)</f>
        <v>8.96951129969469</v>
      </c>
      <c r="AK16" s="177" t="n">
        <f aca="false">SUM(_Engine_R50!V136:V138)</f>
        <v>8.72367447465193</v>
      </c>
      <c r="AL16" s="177" t="n">
        <f aca="false">SUM(_Engine_R50!V139:V141)</f>
        <v>8.48484987317185</v>
      </c>
      <c r="AM16" s="177" t="n">
        <f aca="false">SUM(_Engine_R50!V142:V144)</f>
        <v>8.25280379033277</v>
      </c>
      <c r="AN16" s="177" t="n">
        <f aca="false">SUM(_Engine_R50!V145:V147)</f>
        <v>8.02731098355793</v>
      </c>
      <c r="AO16" s="177" t="n">
        <f aca="false">SUM(_Engine_R50!V148:V150)</f>
        <v>7.808154353261</v>
      </c>
      <c r="AP16" s="177" t="n">
        <f aca="false">SUM(_Engine_R50!V151:V153)</f>
        <v>7.59512463580496</v>
      </c>
      <c r="AQ16" s="177" t="n">
        <f aca="false">SUM(_Engine_R50!V154:V156)</f>
        <v>7.388020108294</v>
      </c>
      <c r="AR16" s="177" t="n">
        <f aca="false">SUM(_Engine_R50!V157:V159)</f>
        <v>7.18664630473672</v>
      </c>
      <c r="AS16" s="177" t="n">
        <f aca="false">SUM(_Engine_R50!V160:V162)</f>
        <v>6.99081574313709</v>
      </c>
      <c r="AT16" s="177" t="n">
        <f aca="false">SUM(_Engine_R50!V163:V165)</f>
        <v>6.80034766308719</v>
      </c>
      <c r="AU16" s="177" t="n">
        <f aca="false">SUM(_Engine_R50!V166:V168)</f>
        <v>6.61506777345232</v>
      </c>
      <c r="AV16" s="177" t="n">
        <f aca="false">SUM(_Engine_R50!V169:V171)</f>
        <v>6.43480800975537</v>
      </c>
      <c r="AW16" s="177" t="n">
        <f aca="false">SUM(_Engine_R50!V172:V174)</f>
        <v>6.25940630088235</v>
      </c>
      <c r="AX16" s="177" t="n">
        <f aca="false">SUM(_Engine_R50!V175:V177)</f>
        <v>6.08870634474651</v>
      </c>
      <c r="AY16" s="177" t="n">
        <f aca="false">SUM(_Engine_R50!V178:V180)</f>
        <v>5.92255739256194</v>
      </c>
      <c r="AZ16" s="177" t="n">
        <f aca="false">SUM(_Engine_R50!V181:V183)</f>
        <v>5.76081404139184</v>
      </c>
      <c r="BA16" s="177" t="n">
        <f aca="false">SUM(_Engine_R50!V184:V186)</f>
        <v>5.6033360346495</v>
      </c>
      <c r="BB16" s="177" t="n">
        <f aca="false">SUM(_Engine_R50!V187:V189)</f>
        <v>5.4499880702427</v>
      </c>
      <c r="BC16" s="177" t="n">
        <f aca="false">SUM(_Engine_R50!V190:V192)</f>
        <v>5.30063961606438</v>
      </c>
      <c r="BD16" s="177" t="n">
        <f aca="false">SUM(_Engine_R50!V193:V195)</f>
        <v>5.15516473254423</v>
      </c>
      <c r="BE16" s="177" t="n">
        <f aca="false">SUM(_Engine_R50!V196:V198)</f>
        <v>5.01344190198663</v>
      </c>
      <c r="BF16" s="177" t="n">
        <f aca="false">SUM(_Engine_R50!V199:V201)</f>
        <v>4.87535386443173</v>
      </c>
      <c r="BG16" s="177" t="n">
        <f aca="false">SUM(_Engine_R50!V202:V204)</f>
        <v>4.7407874597862</v>
      </c>
      <c r="BH16" s="177" t="n">
        <f aca="false">SUM(_Engine_R50!V205:V207)</f>
        <v>4.60963347598043</v>
      </c>
      <c r="BI16" s="177" t="n">
        <f aca="false">SUM(_Engine_R50!V208:V210)</f>
        <v>4.48178650291847</v>
      </c>
      <c r="BJ16" s="1"/>
    </row>
    <row r="17" customFormat="false" ht="15" hidden="false" customHeight="true" outlineLevel="0" collapsed="false">
      <c r="A17" s="17" t="s">
        <v>498</v>
      </c>
      <c r="B17" s="46" t="n">
        <f aca="false">SUM(_Engine_R50!W31:W33)</f>
        <v>0</v>
      </c>
      <c r="C17" s="46" t="n">
        <f aca="false">SUM(_Engine_R50!W34:W36)</f>
        <v>2.45</v>
      </c>
      <c r="D17" s="46" t="n">
        <f aca="false">SUM(_Engine_R50!W37:W39)</f>
        <v>2.45</v>
      </c>
      <c r="E17" s="46" t="n">
        <f aca="false">SUM(_Engine_R50!W40:W42)</f>
        <v>2.45</v>
      </c>
      <c r="F17" s="46" t="n">
        <f aca="false">SUM(_Engine_R50!W43:W45)</f>
        <v>0</v>
      </c>
      <c r="G17" s="46" t="n">
        <f aca="false">SUM(_Engine_R50!W46:W48)</f>
        <v>2.45</v>
      </c>
      <c r="H17" s="46" t="n">
        <f aca="false">SUM(_Engine_R50!W49:W51)</f>
        <v>0</v>
      </c>
      <c r="I17" s="46" t="n">
        <f aca="false">SUM(_Engine_R50!W52:W54)</f>
        <v>0</v>
      </c>
      <c r="J17" s="46" t="n">
        <f aca="false">SUM(_Engine_R50!W55:W57)</f>
        <v>0</v>
      </c>
      <c r="K17" s="46" t="n">
        <f aca="false">SUM(_Engine_R50!W58:W60)</f>
        <v>0</v>
      </c>
      <c r="L17" s="46" t="n">
        <f aca="false">SUM(_Engine_R50!W61:W63)</f>
        <v>2.45</v>
      </c>
      <c r="M17" s="46" t="n">
        <f aca="false">SUM(_Engine_R50!W64:W66)</f>
        <v>0</v>
      </c>
      <c r="N17" s="46" t="n">
        <f aca="false">SUM(_Engine_R50!W67:W69)</f>
        <v>0</v>
      </c>
      <c r="O17" s="46" t="n">
        <f aca="false">SUM(_Engine_R50!W70:W72)</f>
        <v>0</v>
      </c>
      <c r="P17" s="46" t="n">
        <f aca="false">SUM(_Engine_R50!W73:W75)</f>
        <v>0</v>
      </c>
      <c r="Q17" s="46" t="n">
        <f aca="false">SUM(_Engine_R50!W76:W78)</f>
        <v>0</v>
      </c>
      <c r="R17" s="46" t="n">
        <f aca="false">SUM(_Engine_R50!W79:W81)</f>
        <v>0</v>
      </c>
      <c r="S17" s="46" t="n">
        <f aca="false">SUM(_Engine_R50!W82:W84)</f>
        <v>0</v>
      </c>
      <c r="T17" s="46" t="n">
        <f aca="false">SUM(_Engine_R50!W85:W87)</f>
        <v>0</v>
      </c>
      <c r="U17" s="46" t="n">
        <f aca="false">SUM(_Engine_R50!W88:W90)</f>
        <v>0</v>
      </c>
      <c r="V17" s="46" t="n">
        <f aca="false">SUM(_Engine_R50!W91:W93)</f>
        <v>0</v>
      </c>
      <c r="W17" s="46" t="n">
        <f aca="false">SUM(_Engine_R50!W94:W96)</f>
        <v>0</v>
      </c>
      <c r="X17" s="46" t="n">
        <f aca="false">SUM(_Engine_R50!W97:W99)</f>
        <v>0</v>
      </c>
      <c r="Y17" s="46" t="n">
        <f aca="false">SUM(_Engine_R50!W100:W102)</f>
        <v>0</v>
      </c>
      <c r="Z17" s="46" t="n">
        <f aca="false">SUM(_Engine_R50!W103:W105)</f>
        <v>0</v>
      </c>
      <c r="AA17" s="46" t="n">
        <f aca="false">SUM(_Engine_R50!W106:W108)</f>
        <v>0</v>
      </c>
      <c r="AB17" s="46" t="n">
        <f aca="false">SUM(_Engine_R50!W109:W111)</f>
        <v>0</v>
      </c>
      <c r="AC17" s="46" t="n">
        <f aca="false">SUM(_Engine_R50!W112:W114)</f>
        <v>0</v>
      </c>
      <c r="AD17" s="46" t="n">
        <f aca="false">SUM(_Engine_R50!W115:W117)</f>
        <v>0</v>
      </c>
      <c r="AE17" s="46" t="n">
        <f aca="false">SUM(_Engine_R50!W118:W120)</f>
        <v>0</v>
      </c>
      <c r="AF17" s="46" t="n">
        <f aca="false">SUM(_Engine_R50!W121:W123)</f>
        <v>0</v>
      </c>
      <c r="AG17" s="46" t="n">
        <f aca="false">SUM(_Engine_R50!W124:W126)</f>
        <v>0</v>
      </c>
      <c r="AH17" s="46" t="n">
        <f aca="false">SUM(_Engine_R50!W127:W129)</f>
        <v>0</v>
      </c>
      <c r="AI17" s="46" t="n">
        <f aca="false">SUM(_Engine_R50!W130:W132)</f>
        <v>0</v>
      </c>
      <c r="AJ17" s="46" t="n">
        <f aca="false">SUM(_Engine_R50!W133:W135)</f>
        <v>0</v>
      </c>
      <c r="AK17" s="46" t="n">
        <f aca="false">SUM(_Engine_R50!W136:W138)</f>
        <v>0</v>
      </c>
      <c r="AL17" s="46" t="n">
        <f aca="false">SUM(_Engine_R50!W139:W141)</f>
        <v>0</v>
      </c>
      <c r="AM17" s="46" t="n">
        <f aca="false">SUM(_Engine_R50!W142:W144)</f>
        <v>0</v>
      </c>
      <c r="AN17" s="46" t="n">
        <f aca="false">SUM(_Engine_R50!W145:W147)</f>
        <v>0</v>
      </c>
      <c r="AO17" s="46" t="n">
        <f aca="false">SUM(_Engine_R50!W148:W150)</f>
        <v>0</v>
      </c>
      <c r="AP17" s="46" t="n">
        <f aca="false">SUM(_Engine_R50!W151:W153)</f>
        <v>0</v>
      </c>
      <c r="AQ17" s="46" t="n">
        <f aca="false">SUM(_Engine_R50!W154:W156)</f>
        <v>0</v>
      </c>
      <c r="AR17" s="46" t="n">
        <f aca="false">SUM(_Engine_R50!W157:W159)</f>
        <v>0</v>
      </c>
      <c r="AS17" s="46" t="n">
        <f aca="false">SUM(_Engine_R50!W160:W162)</f>
        <v>0</v>
      </c>
      <c r="AT17" s="46" t="n">
        <f aca="false">SUM(_Engine_R50!W163:W165)</f>
        <v>0</v>
      </c>
      <c r="AU17" s="46" t="n">
        <f aca="false">SUM(_Engine_R50!W166:W168)</f>
        <v>0</v>
      </c>
      <c r="AV17" s="46" t="n">
        <f aca="false">SUM(_Engine_R50!W169:W171)</f>
        <v>0</v>
      </c>
      <c r="AW17" s="46" t="n">
        <f aca="false">SUM(_Engine_R50!W172:W174)</f>
        <v>0</v>
      </c>
      <c r="AX17" s="46" t="n">
        <f aca="false">SUM(_Engine_R50!W175:W177)</f>
        <v>0</v>
      </c>
      <c r="AY17" s="46" t="n">
        <f aca="false">SUM(_Engine_R50!W178:W180)</f>
        <v>0</v>
      </c>
      <c r="AZ17" s="46" t="n">
        <f aca="false">SUM(_Engine_R50!W181:W183)</f>
        <v>0</v>
      </c>
      <c r="BA17" s="46" t="n">
        <f aca="false">SUM(_Engine_R50!W184:W186)</f>
        <v>0</v>
      </c>
      <c r="BB17" s="46" t="n">
        <f aca="false">SUM(_Engine_R50!W187:W189)</f>
        <v>0</v>
      </c>
      <c r="BC17" s="46" t="n">
        <f aca="false">SUM(_Engine_R50!W190:W192)</f>
        <v>0</v>
      </c>
      <c r="BD17" s="46" t="n">
        <f aca="false">SUM(_Engine_R50!W193:W195)</f>
        <v>0</v>
      </c>
      <c r="BE17" s="46" t="n">
        <f aca="false">SUM(_Engine_R50!W196:W198)</f>
        <v>0</v>
      </c>
      <c r="BF17" s="46" t="n">
        <f aca="false">SUM(_Engine_R50!W199:W201)</f>
        <v>0</v>
      </c>
      <c r="BG17" s="46" t="n">
        <f aca="false">SUM(_Engine_R50!W202:W204)</f>
        <v>0</v>
      </c>
      <c r="BH17" s="46" t="n">
        <f aca="false">SUM(_Engine_R50!W205:W207)</f>
        <v>0</v>
      </c>
      <c r="BI17" s="46" t="n">
        <f aca="false">SUM(_Engine_R50!W208:W210)</f>
        <v>0</v>
      </c>
      <c r="BJ17" s="1"/>
    </row>
    <row r="18" customFormat="false" ht="15" hidden="false" customHeight="true" outlineLevel="0" collapsed="false">
      <c r="A18" s="179" t="s">
        <v>247</v>
      </c>
      <c r="B18" s="181" t="n">
        <f aca="false">B16-B17</f>
        <v>-0.864317475</v>
      </c>
      <c r="C18" s="181" t="n">
        <f aca="false">C16-C17</f>
        <v>-1.33784754391009</v>
      </c>
      <c r="D18" s="181" t="n">
        <f aca="false">D16-D17</f>
        <v>1.41012224052321</v>
      </c>
      <c r="E18" s="181" t="n">
        <f aca="false">E16-E17</f>
        <v>4.32387617789244</v>
      </c>
      <c r="F18" s="181" t="n">
        <f aca="false">F16-F17</f>
        <v>8.7752211184472</v>
      </c>
      <c r="G18" s="181" t="n">
        <f aca="false">G16-G17</f>
        <v>9.62283104690509</v>
      </c>
      <c r="H18" s="181" t="n">
        <f aca="false">H16-H17</f>
        <v>13.7207324988532</v>
      </c>
      <c r="I18" s="181" t="n">
        <f aca="false">I16-I17</f>
        <v>14.1715872751286</v>
      </c>
      <c r="J18" s="181" t="n">
        <f aca="false">J16-J17</f>
        <v>14.1094026185822</v>
      </c>
      <c r="K18" s="181" t="n">
        <f aca="false">K16-K17</f>
        <v>13.9970874111152</v>
      </c>
      <c r="L18" s="181" t="n">
        <f aca="false">L16-L17</f>
        <v>11.5921640975246</v>
      </c>
      <c r="M18" s="181" t="n">
        <f aca="false">M16-M17</f>
        <v>15.2659450395439</v>
      </c>
      <c r="N18" s="181" t="n">
        <f aca="false">N16-N17</f>
        <v>16.0573956646059</v>
      </c>
      <c r="O18" s="181" t="n">
        <f aca="false">O16-O17</f>
        <v>15.7315722448023</v>
      </c>
      <c r="P18" s="181" t="n">
        <f aca="false">P16-P17</f>
        <v>15.3819950088813</v>
      </c>
      <c r="Q18" s="181" t="n">
        <f aca="false">Q16-Q17</f>
        <v>15.0470196674796</v>
      </c>
      <c r="R18" s="181" t="n">
        <f aca="false">R16-R17</f>
        <v>14.726132916727</v>
      </c>
      <c r="S18" s="181" t="n">
        <f aca="false">S16-S17</f>
        <v>14.4188405652944</v>
      </c>
      <c r="T18" s="181" t="n">
        <f aca="false">T16-T17</f>
        <v>14.0857779133047</v>
      </c>
      <c r="U18" s="181" t="n">
        <f aca="false">U16-U17</f>
        <v>13.6875979374982</v>
      </c>
      <c r="V18" s="181" t="n">
        <f aca="false">V16-V17</f>
        <v>13.3016372815356</v>
      </c>
      <c r="W18" s="181" t="n">
        <f aca="false">W16-W17</f>
        <v>12.9274711614769</v>
      </c>
      <c r="X18" s="181" t="n">
        <f aca="false">X16-X17</f>
        <v>12.5646905187385</v>
      </c>
      <c r="Y18" s="181" t="n">
        <f aca="false">Y16-Y17</f>
        <v>12.2129014195381</v>
      </c>
      <c r="Z18" s="181" t="n">
        <f aca="false">Z16-Z17</f>
        <v>11.871724477655</v>
      </c>
      <c r="AA18" s="181" t="n">
        <f aca="false">AA16-AA17</f>
        <v>11.5407942995901</v>
      </c>
      <c r="AB18" s="181" t="n">
        <f aca="false">AB16-AB17</f>
        <v>11.2197589512512</v>
      </c>
      <c r="AC18" s="181" t="n">
        <f aca="false">AC16-AC17</f>
        <v>10.9082794453168</v>
      </c>
      <c r="AD18" s="181" t="n">
        <f aca="false">AD16-AD17</f>
        <v>10.6060292484719</v>
      </c>
      <c r="AE18" s="181" t="n">
        <f aca="false">AE16-AE17</f>
        <v>10.3126938077357</v>
      </c>
      <c r="AF18" s="181" t="n">
        <f aca="false">AF16-AF17</f>
        <v>10.0279700951347</v>
      </c>
      <c r="AG18" s="181" t="n">
        <f aca="false">AG16-AG17</f>
        <v>9.75156617000338</v>
      </c>
      <c r="AH18" s="181" t="n">
        <f aca="false">AH16-AH17</f>
        <v>9.48320075822287</v>
      </c>
      <c r="AI18" s="181" t="n">
        <f aca="false">AI16-AI17</f>
        <v>9.22260284773488</v>
      </c>
      <c r="AJ18" s="181" t="n">
        <f aca="false">AJ16-AJ17</f>
        <v>8.96951129969469</v>
      </c>
      <c r="AK18" s="181" t="n">
        <f aca="false">AK16-AK17</f>
        <v>8.72367447465193</v>
      </c>
      <c r="AL18" s="181" t="n">
        <f aca="false">AL16-AL17</f>
        <v>8.48484987317185</v>
      </c>
      <c r="AM18" s="181" t="n">
        <f aca="false">AM16-AM17</f>
        <v>8.25280379033277</v>
      </c>
      <c r="AN18" s="181" t="n">
        <f aca="false">AN16-AN17</f>
        <v>8.02731098355793</v>
      </c>
      <c r="AO18" s="181" t="n">
        <f aca="false">AO16-AO17</f>
        <v>7.808154353261</v>
      </c>
      <c r="AP18" s="181" t="n">
        <f aca="false">AP16-AP17</f>
        <v>7.59512463580496</v>
      </c>
      <c r="AQ18" s="181" t="n">
        <f aca="false">AQ16-AQ17</f>
        <v>7.388020108294</v>
      </c>
      <c r="AR18" s="181" t="n">
        <f aca="false">AR16-AR17</f>
        <v>7.18664630473672</v>
      </c>
      <c r="AS18" s="181" t="n">
        <f aca="false">AS16-AS17</f>
        <v>6.99081574313709</v>
      </c>
      <c r="AT18" s="181" t="n">
        <f aca="false">AT16-AT17</f>
        <v>6.80034766308719</v>
      </c>
      <c r="AU18" s="181" t="n">
        <f aca="false">AU16-AU17</f>
        <v>6.61506777345232</v>
      </c>
      <c r="AV18" s="181" t="n">
        <f aca="false">AV16-AV17</f>
        <v>6.43480800975537</v>
      </c>
      <c r="AW18" s="181" t="n">
        <f aca="false">AW16-AW17</f>
        <v>6.25940630088235</v>
      </c>
      <c r="AX18" s="181" t="n">
        <f aca="false">AX16-AX17</f>
        <v>6.08870634474651</v>
      </c>
      <c r="AY18" s="181" t="n">
        <f aca="false">AY16-AY17</f>
        <v>5.92255739256194</v>
      </c>
      <c r="AZ18" s="181" t="n">
        <f aca="false">AZ16-AZ17</f>
        <v>5.76081404139184</v>
      </c>
      <c r="BA18" s="181" t="n">
        <f aca="false">BA16-BA17</f>
        <v>5.6033360346495</v>
      </c>
      <c r="BB18" s="181" t="n">
        <f aca="false">BB16-BB17</f>
        <v>5.4499880702427</v>
      </c>
      <c r="BC18" s="181" t="n">
        <f aca="false">BC16-BC17</f>
        <v>5.30063961606438</v>
      </c>
      <c r="BD18" s="181" t="n">
        <f aca="false">BD16-BD17</f>
        <v>5.15516473254423</v>
      </c>
      <c r="BE18" s="181" t="n">
        <f aca="false">BE16-BE17</f>
        <v>5.01344190198663</v>
      </c>
      <c r="BF18" s="181" t="n">
        <f aca="false">BF16-BF17</f>
        <v>4.87535386443173</v>
      </c>
      <c r="BG18" s="181" t="n">
        <f aca="false">BG16-BG17</f>
        <v>4.7407874597862</v>
      </c>
      <c r="BH18" s="181" t="n">
        <f aca="false">BH16-BH17</f>
        <v>4.60963347598043</v>
      </c>
      <c r="BI18" s="181" t="n">
        <f aca="false">BI16-BI17</f>
        <v>4.48178650291847</v>
      </c>
      <c r="BJ18" s="167"/>
    </row>
    <row r="19" customFormat="false" ht="15" hidden="false" customHeight="true" outlineLevel="0" collapsed="false">
      <c r="A19" s="1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1"/>
    </row>
    <row r="20" customFormat="false" ht="15" hidden="false" customHeight="true" outlineLevel="0" collapsed="false">
      <c r="A20" s="17" t="s">
        <v>248</v>
      </c>
      <c r="B20" s="46" t="n">
        <f aca="false">SUM(_Engine_R50!C31:C33)</f>
        <v>0.75</v>
      </c>
      <c r="C20" s="46" t="n">
        <f aca="false">SUM(_Engine_R50!C34:C36)</f>
        <v>0.75</v>
      </c>
      <c r="D20" s="46" t="n">
        <f aca="false">SUM(_Engine_R50!C37:C39)</f>
        <v>0.75</v>
      </c>
      <c r="E20" s="46" t="n">
        <f aca="false">SUM(_Engine_R50!C40:C42)</f>
        <v>0.75</v>
      </c>
      <c r="F20" s="46" t="n">
        <f aca="false">SUM(_Engine_R50!C43:C45)</f>
        <v>0.75</v>
      </c>
      <c r="G20" s="46" t="n">
        <f aca="false">SUM(_Engine_R50!C46:C48)</f>
        <v>0.75</v>
      </c>
      <c r="H20" s="46" t="n">
        <f aca="false">SUM(_Engine_R50!C49:C51)</f>
        <v>0</v>
      </c>
      <c r="I20" s="46" t="n">
        <f aca="false">SUM(_Engine_R50!C52:C54)</f>
        <v>0</v>
      </c>
      <c r="J20" s="46" t="n">
        <f aca="false">SUM(_Engine_R50!C55:C57)</f>
        <v>0</v>
      </c>
      <c r="K20" s="46" t="n">
        <f aca="false">SUM(_Engine_R50!C58:C60)</f>
        <v>0</v>
      </c>
      <c r="L20" s="46" t="n">
        <f aca="false">SUM(_Engine_R50!C61:C63)</f>
        <v>0</v>
      </c>
      <c r="M20" s="46" t="n">
        <f aca="false">SUM(_Engine_R50!C64:C66)</f>
        <v>0</v>
      </c>
      <c r="N20" s="46" t="n">
        <f aca="false">SUM(_Engine_R50!C67:C69)</f>
        <v>0</v>
      </c>
      <c r="O20" s="46" t="n">
        <f aca="false">SUM(_Engine_R50!C70:C72)</f>
        <v>0</v>
      </c>
      <c r="P20" s="46" t="n">
        <f aca="false">SUM(_Engine_R50!C73:C75)</f>
        <v>0</v>
      </c>
      <c r="Q20" s="46" t="n">
        <f aca="false">SUM(_Engine_R50!C76:C78)</f>
        <v>0</v>
      </c>
      <c r="R20" s="46" t="n">
        <f aca="false">SUM(_Engine_R50!C79:C81)</f>
        <v>0</v>
      </c>
      <c r="S20" s="46" t="n">
        <f aca="false">SUM(_Engine_R50!C82:C84)</f>
        <v>0</v>
      </c>
      <c r="T20" s="46" t="n">
        <f aca="false">SUM(_Engine_R50!C85:C87)</f>
        <v>0</v>
      </c>
      <c r="U20" s="46" t="n">
        <f aca="false">SUM(_Engine_R50!C88:C90)</f>
        <v>0</v>
      </c>
      <c r="V20" s="46" t="n">
        <f aca="false">SUM(_Engine_R50!C91:C93)</f>
        <v>0</v>
      </c>
      <c r="W20" s="46" t="n">
        <f aca="false">SUM(_Engine_R50!C94:C96)</f>
        <v>0</v>
      </c>
      <c r="X20" s="46" t="n">
        <f aca="false">SUM(_Engine_R50!C97:C99)</f>
        <v>0</v>
      </c>
      <c r="Y20" s="46" t="n">
        <f aca="false">SUM(_Engine_R50!C100:C102)</f>
        <v>0</v>
      </c>
      <c r="Z20" s="46" t="n">
        <f aca="false">SUM(_Engine_R50!C103:C105)</f>
        <v>0</v>
      </c>
      <c r="AA20" s="46" t="n">
        <f aca="false">SUM(_Engine_R50!C106:C108)</f>
        <v>0</v>
      </c>
      <c r="AB20" s="46" t="n">
        <f aca="false">SUM(_Engine_R50!C109:C111)</f>
        <v>0</v>
      </c>
      <c r="AC20" s="46" t="n">
        <f aca="false">SUM(_Engine_R50!C112:C114)</f>
        <v>0</v>
      </c>
      <c r="AD20" s="46" t="n">
        <f aca="false">SUM(_Engine_R50!C115:C117)</f>
        <v>0</v>
      </c>
      <c r="AE20" s="46" t="n">
        <f aca="false">SUM(_Engine_R50!C118:C120)</f>
        <v>0</v>
      </c>
      <c r="AF20" s="46" t="n">
        <f aca="false">SUM(_Engine_R50!C121:C123)</f>
        <v>0</v>
      </c>
      <c r="AG20" s="46" t="n">
        <f aca="false">SUM(_Engine_R50!C124:C126)</f>
        <v>0</v>
      </c>
      <c r="AH20" s="46" t="n">
        <f aca="false">SUM(_Engine_R50!C127:C129)</f>
        <v>0</v>
      </c>
      <c r="AI20" s="46" t="n">
        <f aca="false">SUM(_Engine_R50!C130:C132)</f>
        <v>0</v>
      </c>
      <c r="AJ20" s="46" t="n">
        <f aca="false">SUM(_Engine_R50!C133:C135)</f>
        <v>0</v>
      </c>
      <c r="AK20" s="46" t="n">
        <f aca="false">SUM(_Engine_R50!C136:C138)</f>
        <v>0</v>
      </c>
      <c r="AL20" s="46" t="n">
        <f aca="false">SUM(_Engine_R50!C139:C141)</f>
        <v>0</v>
      </c>
      <c r="AM20" s="46" t="n">
        <f aca="false">SUM(_Engine_R50!C142:C144)</f>
        <v>0</v>
      </c>
      <c r="AN20" s="46" t="n">
        <f aca="false">SUM(_Engine_R50!C145:C147)</f>
        <v>0</v>
      </c>
      <c r="AO20" s="46" t="n">
        <f aca="false">SUM(_Engine_R50!C148:C150)</f>
        <v>0</v>
      </c>
      <c r="AP20" s="46" t="n">
        <f aca="false">SUM(_Engine_R50!C151:C153)</f>
        <v>0</v>
      </c>
      <c r="AQ20" s="46" t="n">
        <f aca="false">SUM(_Engine_R50!C154:C156)</f>
        <v>0</v>
      </c>
      <c r="AR20" s="46" t="n">
        <f aca="false">SUM(_Engine_R50!C157:C159)</f>
        <v>0</v>
      </c>
      <c r="AS20" s="46" t="n">
        <f aca="false">SUM(_Engine_R50!C160:C162)</f>
        <v>0</v>
      </c>
      <c r="AT20" s="46" t="n">
        <f aca="false">SUM(_Engine_R50!C163:C165)</f>
        <v>0</v>
      </c>
      <c r="AU20" s="46" t="n">
        <f aca="false">SUM(_Engine_R50!C166:C168)</f>
        <v>0</v>
      </c>
      <c r="AV20" s="46" t="n">
        <f aca="false">SUM(_Engine_R50!C169:C171)</f>
        <v>0</v>
      </c>
      <c r="AW20" s="46" t="n">
        <f aca="false">SUM(_Engine_R50!C172:C174)</f>
        <v>0</v>
      </c>
      <c r="AX20" s="46" t="n">
        <f aca="false">SUM(_Engine_R50!C175:C177)</f>
        <v>0</v>
      </c>
      <c r="AY20" s="46" t="n">
        <f aca="false">SUM(_Engine_R50!C178:C180)</f>
        <v>0</v>
      </c>
      <c r="AZ20" s="46" t="n">
        <f aca="false">SUM(_Engine_R50!C181:C183)</f>
        <v>0</v>
      </c>
      <c r="BA20" s="46" t="n">
        <f aca="false">SUM(_Engine_R50!C184:C186)</f>
        <v>0</v>
      </c>
      <c r="BB20" s="46" t="n">
        <f aca="false">SUM(_Engine_R50!C187:C189)</f>
        <v>0</v>
      </c>
      <c r="BC20" s="46" t="n">
        <f aca="false">SUM(_Engine_R50!C190:C192)</f>
        <v>0</v>
      </c>
      <c r="BD20" s="46" t="n">
        <f aca="false">SUM(_Engine_R50!C193:C195)</f>
        <v>0</v>
      </c>
      <c r="BE20" s="46" t="n">
        <f aca="false">SUM(_Engine_R50!C196:C198)</f>
        <v>0</v>
      </c>
      <c r="BF20" s="46" t="n">
        <f aca="false">SUM(_Engine_R50!C199:C201)</f>
        <v>0</v>
      </c>
      <c r="BG20" s="46" t="n">
        <f aca="false">SUM(_Engine_R50!C202:C204)</f>
        <v>0</v>
      </c>
      <c r="BH20" s="46" t="n">
        <f aca="false">SUM(_Engine_R50!C205:C207)</f>
        <v>0</v>
      </c>
      <c r="BI20" s="46" t="n">
        <f aca="false">SUM(_Engine_R50!C208:C210)</f>
        <v>0</v>
      </c>
      <c r="BJ20" s="1"/>
    </row>
    <row r="21" customFormat="false" ht="15" hidden="false" customHeight="true" outlineLevel="0" collapsed="false">
      <c r="A21" s="17" t="s">
        <v>434</v>
      </c>
      <c r="B21" s="46" t="n">
        <f aca="false">B18-B20</f>
        <v>-1.614317475</v>
      </c>
      <c r="C21" s="46" t="n">
        <f aca="false">C18-C20</f>
        <v>-2.08784754391009</v>
      </c>
      <c r="D21" s="46" t="n">
        <f aca="false">D18-D20</f>
        <v>0.660122240523207</v>
      </c>
      <c r="E21" s="46" t="n">
        <f aca="false">E18-E20</f>
        <v>3.57387617789244</v>
      </c>
      <c r="F21" s="46" t="n">
        <f aca="false">F18-F20</f>
        <v>8.0252211184472</v>
      </c>
      <c r="G21" s="46" t="n">
        <f aca="false">G18-G20</f>
        <v>8.87283104690509</v>
      </c>
      <c r="H21" s="46" t="n">
        <f aca="false">H18-H20</f>
        <v>13.7207324988532</v>
      </c>
      <c r="I21" s="46" t="n">
        <f aca="false">I18-I20</f>
        <v>14.1715872751286</v>
      </c>
      <c r="J21" s="46" t="n">
        <f aca="false">J18-J20</f>
        <v>14.1094026185822</v>
      </c>
      <c r="K21" s="46" t="n">
        <f aca="false">K18-K20</f>
        <v>13.9970874111152</v>
      </c>
      <c r="L21" s="46" t="n">
        <f aca="false">L18-L20</f>
        <v>11.5921640975246</v>
      </c>
      <c r="M21" s="46" t="n">
        <f aca="false">M18-M20</f>
        <v>15.2659450395439</v>
      </c>
      <c r="N21" s="46" t="n">
        <f aca="false">N18-N20</f>
        <v>16.0573956646059</v>
      </c>
      <c r="O21" s="46" t="n">
        <f aca="false">O18-O20</f>
        <v>15.7315722448023</v>
      </c>
      <c r="P21" s="46" t="n">
        <f aca="false">P18-P20</f>
        <v>15.3819950088813</v>
      </c>
      <c r="Q21" s="46" t="n">
        <f aca="false">Q18-Q20</f>
        <v>15.0470196674796</v>
      </c>
      <c r="R21" s="46" t="n">
        <f aca="false">R18-R20</f>
        <v>14.726132916727</v>
      </c>
      <c r="S21" s="46" t="n">
        <f aca="false">S18-S20</f>
        <v>14.4188405652944</v>
      </c>
      <c r="T21" s="46" t="n">
        <f aca="false">T18-T20</f>
        <v>14.0857779133047</v>
      </c>
      <c r="U21" s="46" t="n">
        <f aca="false">U18-U20</f>
        <v>13.6875979374982</v>
      </c>
      <c r="V21" s="46" t="n">
        <f aca="false">V18-V20</f>
        <v>13.3016372815356</v>
      </c>
      <c r="W21" s="46" t="n">
        <f aca="false">W18-W20</f>
        <v>12.9274711614769</v>
      </c>
      <c r="X21" s="46" t="n">
        <f aca="false">X18-X20</f>
        <v>12.5646905187385</v>
      </c>
      <c r="Y21" s="46" t="n">
        <f aca="false">Y18-Y20</f>
        <v>12.2129014195381</v>
      </c>
      <c r="Z21" s="46" t="n">
        <f aca="false">Z18-Z20</f>
        <v>11.871724477655</v>
      </c>
      <c r="AA21" s="46" t="n">
        <f aca="false">AA18-AA20</f>
        <v>11.5407942995901</v>
      </c>
      <c r="AB21" s="46" t="n">
        <f aca="false">AB18-AB20</f>
        <v>11.2197589512512</v>
      </c>
      <c r="AC21" s="46" t="n">
        <f aca="false">AC18-AC20</f>
        <v>10.9082794453168</v>
      </c>
      <c r="AD21" s="46" t="n">
        <f aca="false">AD18-AD20</f>
        <v>10.6060292484719</v>
      </c>
      <c r="AE21" s="46" t="n">
        <f aca="false">AE18-AE20</f>
        <v>10.3126938077357</v>
      </c>
      <c r="AF21" s="46" t="n">
        <f aca="false">AF18-AF20</f>
        <v>10.0279700951347</v>
      </c>
      <c r="AG21" s="46" t="n">
        <f aca="false">AG18-AG20</f>
        <v>9.75156617000338</v>
      </c>
      <c r="AH21" s="46" t="n">
        <f aca="false">AH18-AH20</f>
        <v>9.48320075822287</v>
      </c>
      <c r="AI21" s="46" t="n">
        <f aca="false">AI18-AI20</f>
        <v>9.22260284773488</v>
      </c>
      <c r="AJ21" s="46" t="n">
        <f aca="false">AJ18-AJ20</f>
        <v>8.96951129969469</v>
      </c>
      <c r="AK21" s="46" t="n">
        <f aca="false">AK18-AK20</f>
        <v>8.72367447465193</v>
      </c>
      <c r="AL21" s="46" t="n">
        <f aca="false">AL18-AL20</f>
        <v>8.48484987317185</v>
      </c>
      <c r="AM21" s="46" t="n">
        <f aca="false">AM18-AM20</f>
        <v>8.25280379033277</v>
      </c>
      <c r="AN21" s="46" t="n">
        <f aca="false">AN18-AN20</f>
        <v>8.02731098355793</v>
      </c>
      <c r="AO21" s="46" t="n">
        <f aca="false">AO18-AO20</f>
        <v>7.808154353261</v>
      </c>
      <c r="AP21" s="46" t="n">
        <f aca="false">AP18-AP20</f>
        <v>7.59512463580496</v>
      </c>
      <c r="AQ21" s="46" t="n">
        <f aca="false">AQ18-AQ20</f>
        <v>7.388020108294</v>
      </c>
      <c r="AR21" s="46" t="n">
        <f aca="false">AR18-AR20</f>
        <v>7.18664630473672</v>
      </c>
      <c r="AS21" s="46" t="n">
        <f aca="false">AS18-AS20</f>
        <v>6.99081574313709</v>
      </c>
      <c r="AT21" s="46" t="n">
        <f aca="false">AT18-AT20</f>
        <v>6.80034766308719</v>
      </c>
      <c r="AU21" s="46" t="n">
        <f aca="false">AU18-AU20</f>
        <v>6.61506777345232</v>
      </c>
      <c r="AV21" s="46" t="n">
        <f aca="false">AV18-AV20</f>
        <v>6.43480800975537</v>
      </c>
      <c r="AW21" s="46" t="n">
        <f aca="false">AW18-AW20</f>
        <v>6.25940630088235</v>
      </c>
      <c r="AX21" s="46" t="n">
        <f aca="false">AX18-AX20</f>
        <v>6.08870634474651</v>
      </c>
      <c r="AY21" s="46" t="n">
        <f aca="false">AY18-AY20</f>
        <v>5.92255739256194</v>
      </c>
      <c r="AZ21" s="46" t="n">
        <f aca="false">AZ18-AZ20</f>
        <v>5.76081404139184</v>
      </c>
      <c r="BA21" s="46" t="n">
        <f aca="false">BA18-BA20</f>
        <v>5.6033360346495</v>
      </c>
      <c r="BB21" s="46" t="n">
        <f aca="false">BB18-BB20</f>
        <v>5.4499880702427</v>
      </c>
      <c r="BC21" s="46" t="n">
        <f aca="false">BC18-BC20</f>
        <v>5.30063961606438</v>
      </c>
      <c r="BD21" s="46" t="n">
        <f aca="false">BD18-BD20</f>
        <v>5.15516473254423</v>
      </c>
      <c r="BE21" s="46" t="n">
        <f aca="false">BE18-BE20</f>
        <v>5.01344190198663</v>
      </c>
      <c r="BF21" s="46" t="n">
        <f aca="false">BF18-BF20</f>
        <v>4.87535386443173</v>
      </c>
      <c r="BG21" s="46" t="n">
        <f aca="false">BG18-BG20</f>
        <v>4.7407874597862</v>
      </c>
      <c r="BH21" s="46" t="n">
        <f aca="false">BH18-BH20</f>
        <v>4.60963347598043</v>
      </c>
      <c r="BI21" s="46" t="n">
        <f aca="false">BI18-BI20</f>
        <v>4.48178650291847</v>
      </c>
      <c r="BJ21" s="1"/>
    </row>
    <row r="22" customFormat="false" ht="15" hidden="false" customHeight="true" outlineLevel="0" collapsed="false">
      <c r="A22" s="18" t="s">
        <v>250</v>
      </c>
      <c r="B22" s="173" t="n">
        <f aca="false">B21</f>
        <v>-1.614317475</v>
      </c>
      <c r="C22" s="173" t="n">
        <f aca="false">B22+C21</f>
        <v>-3.70216501891009</v>
      </c>
      <c r="D22" s="173" t="n">
        <f aca="false">C22+D21</f>
        <v>-3.04204277838688</v>
      </c>
      <c r="E22" s="173" t="n">
        <f aca="false">D22+E21</f>
        <v>0.531833399505562</v>
      </c>
      <c r="F22" s="173" t="n">
        <f aca="false">E22+F21</f>
        <v>8.55705451795277</v>
      </c>
      <c r="G22" s="173" t="n">
        <f aca="false">F22+G21</f>
        <v>17.4298855648579</v>
      </c>
      <c r="H22" s="173" t="n">
        <f aca="false">G22+H21</f>
        <v>31.150618063711</v>
      </c>
      <c r="I22" s="173" t="n">
        <f aca="false">H22+I21</f>
        <v>45.3222053388397</v>
      </c>
      <c r="J22" s="173" t="n">
        <f aca="false">I22+J21</f>
        <v>59.4316079574218</v>
      </c>
      <c r="K22" s="173" t="n">
        <f aca="false">J22+K21</f>
        <v>73.4286953685371</v>
      </c>
      <c r="L22" s="173" t="n">
        <f aca="false">K22+L21</f>
        <v>85.0208594660617</v>
      </c>
      <c r="M22" s="173" t="n">
        <f aca="false">L22+M21</f>
        <v>100.286804505606</v>
      </c>
      <c r="N22" s="173" t="n">
        <f aca="false">M22+N21</f>
        <v>116.344200170211</v>
      </c>
      <c r="O22" s="173" t="n">
        <f aca="false">N22+O21</f>
        <v>132.075772415014</v>
      </c>
      <c r="P22" s="173" t="n">
        <f aca="false">O22+P21</f>
        <v>147.457767423895</v>
      </c>
      <c r="Q22" s="173" t="n">
        <f aca="false">P22+Q21</f>
        <v>162.504787091375</v>
      </c>
      <c r="R22" s="173" t="n">
        <f aca="false">Q22+R21</f>
        <v>177.230920008102</v>
      </c>
      <c r="S22" s="173" t="n">
        <f aca="false">R22+S21</f>
        <v>191.649760573396</v>
      </c>
      <c r="T22" s="173" t="n">
        <f aca="false">S22+T21</f>
        <v>205.735538486701</v>
      </c>
      <c r="U22" s="173" t="n">
        <f aca="false">T22+U21</f>
        <v>219.423136424199</v>
      </c>
      <c r="V22" s="173" t="n">
        <f aca="false">U22+V21</f>
        <v>232.724773705735</v>
      </c>
      <c r="W22" s="173" t="n">
        <f aca="false">V22+W21</f>
        <v>245.652244867211</v>
      </c>
      <c r="X22" s="173" t="n">
        <f aca="false">W22+X21</f>
        <v>258.21693538595</v>
      </c>
      <c r="Y22" s="173" t="n">
        <f aca="false">X22+Y21</f>
        <v>270.429836805488</v>
      </c>
      <c r="Z22" s="173" t="n">
        <f aca="false">Y22+Z21</f>
        <v>282.301561283143</v>
      </c>
      <c r="AA22" s="173" t="n">
        <f aca="false">Z22+AA21</f>
        <v>293.842355582733</v>
      </c>
      <c r="AB22" s="173" t="n">
        <f aca="false">AA22+AB21</f>
        <v>305.062114533984</v>
      </c>
      <c r="AC22" s="173" t="n">
        <f aca="false">AB22+AC21</f>
        <v>315.970393979301</v>
      </c>
      <c r="AD22" s="173" t="n">
        <f aca="false">AC22+AD21</f>
        <v>326.576423227773</v>
      </c>
      <c r="AE22" s="173" t="n">
        <f aca="false">AD22+AE21</f>
        <v>336.889117035509</v>
      </c>
      <c r="AF22" s="173" t="n">
        <f aca="false">AE22+AF21</f>
        <v>346.917087130643</v>
      </c>
      <c r="AG22" s="173" t="n">
        <f aca="false">AF22+AG21</f>
        <v>356.668653300647</v>
      </c>
      <c r="AH22" s="173" t="n">
        <f aca="false">AG22+AH21</f>
        <v>366.15185405887</v>
      </c>
      <c r="AI22" s="173" t="n">
        <f aca="false">AH22+AI21</f>
        <v>375.374456906605</v>
      </c>
      <c r="AJ22" s="173" t="n">
        <f aca="false">AI22+AJ21</f>
        <v>384.343968206299</v>
      </c>
      <c r="AK22" s="173" t="n">
        <f aca="false">AJ22+AK21</f>
        <v>393.067642680951</v>
      </c>
      <c r="AL22" s="173" t="n">
        <f aca="false">AK22+AL21</f>
        <v>401.552492554123</v>
      </c>
      <c r="AM22" s="173" t="n">
        <f aca="false">AL22+AM21</f>
        <v>409.805296344456</v>
      </c>
      <c r="AN22" s="173" t="n">
        <f aca="false">AM22+AN21</f>
        <v>417.832607328014</v>
      </c>
      <c r="AO22" s="173" t="n">
        <f aca="false">AN22+AO21</f>
        <v>425.640761681275</v>
      </c>
      <c r="AP22" s="173" t="n">
        <f aca="false">AO22+AP21</f>
        <v>433.23588631708</v>
      </c>
      <c r="AQ22" s="173" t="n">
        <f aca="false">AP22+AQ21</f>
        <v>440.623906425374</v>
      </c>
      <c r="AR22" s="173" t="n">
        <f aca="false">AQ22+AR21</f>
        <v>447.810552730111</v>
      </c>
      <c r="AS22" s="173" t="n">
        <f aca="false">AR22+AS21</f>
        <v>454.801368473248</v>
      </c>
      <c r="AT22" s="173" t="n">
        <f aca="false">AS22+AT21</f>
        <v>461.601716136335</v>
      </c>
      <c r="AU22" s="173" t="n">
        <f aca="false">AT22+AU21</f>
        <v>468.216783909787</v>
      </c>
      <c r="AV22" s="173" t="n">
        <f aca="false">AU22+AV21</f>
        <v>474.651591919542</v>
      </c>
      <c r="AW22" s="173" t="n">
        <f aca="false">AV22+AW21</f>
        <v>480.910998220425</v>
      </c>
      <c r="AX22" s="173" t="n">
        <f aca="false">AW22+AX21</f>
        <v>486.999704565171</v>
      </c>
      <c r="AY22" s="173" t="n">
        <f aca="false">AX22+AY21</f>
        <v>492.922261957733</v>
      </c>
      <c r="AZ22" s="173" t="n">
        <f aca="false">AY22+AZ21</f>
        <v>498.683075999125</v>
      </c>
      <c r="BA22" s="173" t="n">
        <f aca="false">AZ22+BA21</f>
        <v>504.286412033775</v>
      </c>
      <c r="BB22" s="173" t="n">
        <f aca="false">BA22+BB21</f>
        <v>509.736400104017</v>
      </c>
      <c r="BC22" s="173" t="n">
        <f aca="false">BB22+BC21</f>
        <v>515.037039720082</v>
      </c>
      <c r="BD22" s="173" t="n">
        <f aca="false">BC22+BD21</f>
        <v>520.192204452626</v>
      </c>
      <c r="BE22" s="173" t="n">
        <f aca="false">BD22+BE21</f>
        <v>525.205646354613</v>
      </c>
      <c r="BF22" s="173" t="n">
        <f aca="false">BE22+BF21</f>
        <v>530.081000219044</v>
      </c>
      <c r="BG22" s="173" t="n">
        <f aca="false">BF22+BG21</f>
        <v>534.821787678831</v>
      </c>
      <c r="BH22" s="173" t="n">
        <f aca="false">BG22+BH21</f>
        <v>539.431421154811</v>
      </c>
      <c r="BI22" s="173" t="n">
        <f aca="false">BH22+BI21</f>
        <v>543.91320765773</v>
      </c>
      <c r="BJ22" s="1"/>
    </row>
    <row r="23" customFormat="false" ht="15" hidden="false" customHeight="true" outlineLevel="0" collapsed="false">
      <c r="A23" s="17" t="s">
        <v>499</v>
      </c>
      <c r="B23" s="46" t="n">
        <v>-0.5</v>
      </c>
      <c r="C23" s="46" t="n">
        <v>-1.79</v>
      </c>
      <c r="D23" s="46" t="n">
        <v>-2.4</v>
      </c>
      <c r="E23" s="46" t="n">
        <v>-1.68</v>
      </c>
      <c r="F23" s="46" t="n">
        <v>3.13</v>
      </c>
      <c r="G23" s="46" t="n">
        <v>9.4</v>
      </c>
      <c r="H23" s="46" t="n">
        <v>17.9</v>
      </c>
      <c r="I23" s="46" t="n">
        <v>26.4</v>
      </c>
      <c r="J23" s="46" t="n">
        <v>36.09</v>
      </c>
      <c r="K23" s="46" t="n">
        <v>45.66</v>
      </c>
      <c r="L23" s="46" t="n">
        <v>56.49</v>
      </c>
      <c r="M23" s="46" t="n">
        <v>67.23</v>
      </c>
      <c r="N23" s="46" t="n">
        <v>91.29</v>
      </c>
      <c r="O23" s="46" t="n">
        <v>116.45</v>
      </c>
      <c r="P23" s="46" t="n">
        <v>141.49</v>
      </c>
      <c r="Q23" s="46" t="n">
        <v>159.37</v>
      </c>
      <c r="R23" s="46" t="n">
        <v>182.78</v>
      </c>
      <c r="S23" s="46" t="n">
        <v>205.15</v>
      </c>
      <c r="T23" s="46" t="n">
        <v>226.51</v>
      </c>
      <c r="U23" s="46" t="n">
        <v>237.69</v>
      </c>
      <c r="V23" s="46" t="n">
        <v>257.16</v>
      </c>
      <c r="W23" s="46" t="n">
        <v>275.74</v>
      </c>
      <c r="X23" s="46" t="n">
        <v>293.47</v>
      </c>
      <c r="Y23" s="46" t="n">
        <v>304.26</v>
      </c>
      <c r="Z23" s="46" t="n">
        <v>320.38</v>
      </c>
      <c r="AA23" s="46" t="n">
        <v>335.75</v>
      </c>
      <c r="AB23" s="46" t="n">
        <v>350.39</v>
      </c>
      <c r="AC23" s="46" t="n">
        <v>360.85</v>
      </c>
      <c r="AD23" s="46" t="n">
        <v>374.12</v>
      </c>
      <c r="AE23" s="46" t="n">
        <v>386.75</v>
      </c>
      <c r="AF23" s="46" t="n">
        <v>398.76</v>
      </c>
      <c r="AG23" s="46" t="n">
        <v>408.94</v>
      </c>
      <c r="AH23" s="46" t="n">
        <v>419.8</v>
      </c>
      <c r="AI23" s="46" t="n">
        <v>430.1</v>
      </c>
      <c r="AJ23" s="46" t="n">
        <v>439.88</v>
      </c>
      <c r="AK23" s="46" t="n">
        <v>449.16</v>
      </c>
      <c r="AL23" s="46" t="n">
        <v>457.96</v>
      </c>
      <c r="AM23" s="46" t="n">
        <v>466.29</v>
      </c>
      <c r="AN23" s="46" t="n">
        <v>474.17</v>
      </c>
      <c r="AO23" s="46" t="n">
        <v>481.63</v>
      </c>
      <c r="AP23" s="46" t="n">
        <v>488.68</v>
      </c>
      <c r="AQ23" s="46" t="n">
        <v>495.33</v>
      </c>
      <c r="AR23" s="46" t="n">
        <v>501.6</v>
      </c>
      <c r="AS23" s="46" t="n">
        <v>507.51</v>
      </c>
      <c r="AT23" s="46" t="n">
        <v>513.07</v>
      </c>
      <c r="AU23" s="46" t="n">
        <v>518.29</v>
      </c>
      <c r="AV23" s="46" t="n">
        <v>523.2</v>
      </c>
      <c r="AW23" s="46" t="n">
        <v>527.79</v>
      </c>
      <c r="AX23" s="46" t="n">
        <v>532.08</v>
      </c>
      <c r="AY23" s="46" t="n">
        <v>536.1</v>
      </c>
      <c r="AZ23" s="46" t="n">
        <v>539.83</v>
      </c>
      <c r="BA23" s="46" t="n">
        <v>543.31</v>
      </c>
      <c r="BB23" s="46" t="n">
        <v>546.53</v>
      </c>
      <c r="BC23" s="46" t="n">
        <v>549.51</v>
      </c>
      <c r="BD23" s="46" t="n">
        <v>552.26</v>
      </c>
      <c r="BE23" s="46" t="n">
        <v>554.78</v>
      </c>
      <c r="BF23" s="46" t="n">
        <v>557.09</v>
      </c>
      <c r="BG23" s="46" t="n">
        <v>559.19</v>
      </c>
      <c r="BH23" s="46" t="n">
        <v>561.1</v>
      </c>
      <c r="BI23" s="46" t="n">
        <v>562.81</v>
      </c>
      <c r="BJ23" s="1"/>
    </row>
    <row r="24" customFormat="false" ht="15" hidden="false" customHeight="true" outlineLevel="0" collapsed="false">
      <c r="A24" s="17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1"/>
    </row>
    <row r="25" customFormat="false" ht="15" hidden="false" customHeight="true" outlineLevel="0" collapsed="false">
      <c r="A25" s="18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"/>
    </row>
    <row r="26" customFormat="false" ht="15" hidden="false" customHeight="true" outlineLevel="0" collapsed="false">
      <c r="A26" s="17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1"/>
    </row>
    <row r="27" customFormat="false" ht="15" hidden="false" customHeight="true" outlineLevel="0" collapsed="false">
      <c r="A27" s="17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1"/>
    </row>
    <row r="28" customFormat="false" ht="15" hidden="false" customHeight="true" outlineLevel="0" collapsed="false">
      <c r="BJ28" s="1"/>
    </row>
    <row r="29" customFormat="false" ht="15" hidden="false" customHeight="true" outlineLevel="0" collapsed="false">
      <c r="BJ29" s="1"/>
    </row>
    <row r="30" customFormat="false" ht="15" hidden="false" customHeight="true" outlineLevel="0" collapsed="false">
      <c r="BJ30" s="1"/>
    </row>
    <row r="31" customFormat="false" ht="15" hidden="false" customHeight="true" outlineLevel="0" collapsed="false">
      <c r="BJ31" s="1"/>
    </row>
    <row r="32" customFormat="false" ht="15" hidden="false" customHeight="true" outlineLevel="0" collapsed="false">
      <c r="BJ32" s="1"/>
    </row>
    <row r="33" customFormat="false" ht="15" hidden="false" customHeight="true" outlineLevel="0" collapsed="false">
      <c r="BJ33" s="1"/>
    </row>
    <row r="34" customFormat="false" ht="15" hidden="false" customHeight="true" outlineLevel="0" collapsed="false">
      <c r="BJ3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2" min="2" style="1" width="14"/>
  </cols>
  <sheetData>
    <row r="1" customFormat="false" ht="25.5" hidden="false" customHeight="true" outlineLevel="0" collapsed="false">
      <c r="A1" s="184" t="str">
        <f aca="false">" PER-DEAL BREAKDOWN  |  Net Margin per Tab 1 (B26) = " &amp; TEXT('1. Press Assumptions'!$B$26,"0.0%")</f>
        <v> PER-DEAL BREAKDOWN  |  Net Margin per Tab 1 (B26) = 62.5%</v>
      </c>
    </row>
    <row r="3" customFormat="false" ht="19.5" hidden="false" customHeight="true" outlineLevel="0" collapsed="false">
      <c r="A3" s="185" t="s">
        <v>500</v>
      </c>
    </row>
    <row r="5" customFormat="false" ht="15" hidden="false" customHeight="true" outlineLevel="0" collapsed="false">
      <c r="A5" s="186" t="s">
        <v>204</v>
      </c>
      <c r="B5" s="186" t="s">
        <v>501</v>
      </c>
      <c r="C5" s="186" t="s">
        <v>109</v>
      </c>
      <c r="D5" s="186" t="s">
        <v>111</v>
      </c>
      <c r="E5" s="186" t="s">
        <v>502</v>
      </c>
      <c r="F5" s="186" t="s">
        <v>503</v>
      </c>
      <c r="G5" s="186" t="s">
        <v>114</v>
      </c>
      <c r="H5" s="186" t="s">
        <v>504</v>
      </c>
      <c r="I5" s="186" t="s">
        <v>505</v>
      </c>
      <c r="J5" s="186" t="s">
        <v>506</v>
      </c>
      <c r="K5" s="186" t="s">
        <v>507</v>
      </c>
      <c r="L5" s="186" t="s">
        <v>508</v>
      </c>
    </row>
    <row r="6" customFormat="false" ht="15" hidden="false" customHeight="true" outlineLevel="0" collapsed="false">
      <c r="A6" s="187" t="s">
        <v>117</v>
      </c>
      <c r="B6" s="187" t="s">
        <v>509</v>
      </c>
      <c r="C6" s="188" t="s">
        <v>510</v>
      </c>
      <c r="D6" s="189" t="n">
        <f aca="false">'1. Press Assumptions'!$D$89</f>
        <v>25</v>
      </c>
      <c r="E6" s="190" t="n">
        <f aca="false">'1. Press Assumptions'!$E$89</f>
        <v>2</v>
      </c>
      <c r="F6" s="191" t="n">
        <f aca="false">'1. Press Assumptions'!$D$89*'1. Press Assumptions'!$E$89</f>
        <v>50</v>
      </c>
      <c r="G6" s="192" t="n">
        <v>1</v>
      </c>
      <c r="H6" s="189" t="n">
        <v>377.6</v>
      </c>
      <c r="I6" s="189" t="n">
        <v>226.56</v>
      </c>
      <c r="J6" s="193" t="n">
        <v>223.60576</v>
      </c>
      <c r="K6" s="194" t="n">
        <v>5.82306666666667</v>
      </c>
      <c r="L6" s="195" t="n">
        <v>0.513285915600136</v>
      </c>
    </row>
    <row r="7" customFormat="false" ht="15" hidden="false" customHeight="true" outlineLevel="0" collapsed="false">
      <c r="A7" s="196" t="s">
        <v>120</v>
      </c>
      <c r="B7" s="196" t="s">
        <v>511</v>
      </c>
      <c r="C7" s="197" t="s">
        <v>512</v>
      </c>
      <c r="D7" s="198" t="n">
        <f aca="false">'1. Press Assumptions'!$D$90</f>
        <v>25</v>
      </c>
      <c r="E7" s="199" t="n">
        <f aca="false">'1. Press Assumptions'!$E$90</f>
        <v>1.5</v>
      </c>
      <c r="F7" s="200" t="n">
        <f aca="false">'1. Press Assumptions'!$D$90*'1. Press Assumptions'!$E$90</f>
        <v>37.5</v>
      </c>
      <c r="G7" s="201" t="n">
        <v>0.85</v>
      </c>
      <c r="H7" s="198" t="n">
        <v>152.535716188887</v>
      </c>
      <c r="I7" s="198" t="n">
        <v>91.5214297133319</v>
      </c>
      <c r="J7" s="202" t="n">
        <v>88.3825497133319</v>
      </c>
      <c r="K7" s="203" t="n">
        <v>2.3209703181022</v>
      </c>
      <c r="L7" s="204" t="n">
        <v>0.267954502487555</v>
      </c>
    </row>
    <row r="8" customFormat="false" ht="15" hidden="false" customHeight="true" outlineLevel="0" collapsed="false">
      <c r="A8" s="187" t="s">
        <v>123</v>
      </c>
      <c r="B8" s="187" t="s">
        <v>511</v>
      </c>
      <c r="C8" s="188" t="s">
        <v>510</v>
      </c>
      <c r="D8" s="189" t="n">
        <f aca="false">'1. Press Assumptions'!$D$91</f>
        <v>25</v>
      </c>
      <c r="E8" s="190" t="n">
        <f aca="false">'1. Press Assumptions'!$E$91</f>
        <v>1.25</v>
      </c>
      <c r="F8" s="191" t="n">
        <f aca="false">'1. Press Assumptions'!$D$91*'1. Press Assumptions'!$E$91</f>
        <v>31.25</v>
      </c>
      <c r="G8" s="192" t="n">
        <v>1</v>
      </c>
      <c r="H8" s="189" t="n">
        <v>428.925</v>
      </c>
      <c r="I8" s="189" t="n">
        <v>257.355</v>
      </c>
      <c r="J8" s="193" t="n">
        <v>253.88146</v>
      </c>
      <c r="K8" s="194" t="n">
        <v>5.271625</v>
      </c>
      <c r="L8" s="195" t="n">
        <v>0.379027688177303</v>
      </c>
    </row>
    <row r="9" customFormat="false" ht="15" hidden="false" customHeight="true" outlineLevel="0" collapsed="false">
      <c r="A9" s="205" t="s">
        <v>126</v>
      </c>
      <c r="B9" s="205" t="s">
        <v>509</v>
      </c>
      <c r="C9" s="206" t="s">
        <v>513</v>
      </c>
      <c r="D9" s="207" t="n">
        <f aca="false">'1. Press Assumptions'!$D$92</f>
        <v>25</v>
      </c>
      <c r="E9" s="208" t="n">
        <f aca="false">'1. Press Assumptions'!$E$92</f>
        <v>1.25</v>
      </c>
      <c r="F9" s="209" t="n">
        <f aca="false">'1. Press Assumptions'!$D$92*'1. Press Assumptions'!$E$92</f>
        <v>31.25</v>
      </c>
      <c r="G9" s="210" t="n">
        <v>0.8</v>
      </c>
      <c r="H9" s="207" t="n">
        <v>112.526643230303</v>
      </c>
      <c r="I9" s="207" t="n">
        <v>67.5159859381817</v>
      </c>
      <c r="J9" s="211" t="n">
        <v>64.5155859381817</v>
      </c>
      <c r="K9" s="212" t="n">
        <v>1.90874514610005</v>
      </c>
      <c r="L9" s="210" t="n">
        <v>0.188678668579087</v>
      </c>
    </row>
    <row r="10" customFormat="false" ht="15" hidden="false" customHeight="true" outlineLevel="0" collapsed="false">
      <c r="A10" s="205" t="s">
        <v>128</v>
      </c>
      <c r="B10" s="205" t="s">
        <v>511</v>
      </c>
      <c r="C10" s="206" t="s">
        <v>513</v>
      </c>
      <c r="D10" s="207" t="n">
        <f aca="false">'1. Press Assumptions'!$D$93</f>
        <v>18</v>
      </c>
      <c r="E10" s="208" t="n">
        <f aca="false">'1. Press Assumptions'!$E$93</f>
        <v>2</v>
      </c>
      <c r="F10" s="209" t="n">
        <f aca="false">'1. Press Assumptions'!$D$93*'1. Press Assumptions'!$E$93</f>
        <v>36</v>
      </c>
      <c r="G10" s="210" t="n">
        <v>0.8</v>
      </c>
      <c r="H10" s="207" t="n">
        <v>109.546891198315</v>
      </c>
      <c r="I10" s="207" t="n">
        <v>65.7281347189891</v>
      </c>
      <c r="J10" s="211" t="n">
        <v>62.7969747189891</v>
      </c>
      <c r="K10" s="212" t="n">
        <v>1.90178603025406</v>
      </c>
      <c r="L10" s="213" t="n">
        <v>0.259176189778373</v>
      </c>
    </row>
    <row r="13" customFormat="false" ht="15" hidden="false" customHeight="true" outlineLevel="0" collapsed="false">
      <c r="A13" s="214" t="s">
        <v>514</v>
      </c>
    </row>
    <row r="14" customFormat="false" ht="15" hidden="false" customHeight="true" outlineLevel="0" collapsed="false">
      <c r="A14" s="1" t="s">
        <v>204</v>
      </c>
      <c r="B14" s="1" t="s">
        <v>501</v>
      </c>
      <c r="C14" s="1" t="s">
        <v>109</v>
      </c>
      <c r="D14" s="1" t="s">
        <v>111</v>
      </c>
      <c r="E14" s="1" t="s">
        <v>502</v>
      </c>
      <c r="F14" s="1" t="s">
        <v>503</v>
      </c>
      <c r="G14" s="1" t="s">
        <v>114</v>
      </c>
      <c r="H14" s="1" t="s">
        <v>504</v>
      </c>
      <c r="I14" s="1" t="s">
        <v>505</v>
      </c>
      <c r="J14" s="1" t="s">
        <v>506</v>
      </c>
      <c r="K14" s="1" t="s">
        <v>507</v>
      </c>
      <c r="L14" s="1" t="s">
        <v>508</v>
      </c>
    </row>
    <row r="15" customFormat="false" ht="15" hidden="false" customHeight="true" outlineLevel="0" collapsed="false">
      <c r="A15" s="1" t="s">
        <v>132</v>
      </c>
      <c r="B15" s="1" t="s">
        <v>511</v>
      </c>
      <c r="C15" s="1" t="s">
        <v>510</v>
      </c>
      <c r="D15" s="38" t="n">
        <f aca="false">'1. Press Assumptions'!$D$96</f>
        <v>0</v>
      </c>
      <c r="E15" s="215" t="n">
        <f aca="false">'1. Press Assumptions'!$E$96</f>
        <v>2</v>
      </c>
      <c r="F15" s="1" t="n">
        <f aca="false">'1. Press Assumptions'!$D$96*'1. Press Assumptions'!$E$96</f>
        <v>0</v>
      </c>
      <c r="G15" s="1" t="n">
        <v>1</v>
      </c>
      <c r="H15" s="1" t="n">
        <v>314</v>
      </c>
      <c r="I15" s="1" t="n">
        <v>188.4</v>
      </c>
      <c r="J15" s="1" t="n">
        <v>185.6304</v>
      </c>
      <c r="K15" s="1" t="n">
        <v>6.18768</v>
      </c>
      <c r="L15" s="1" t="n">
        <v>0.452576353455475</v>
      </c>
    </row>
    <row r="16" customFormat="false" ht="15" hidden="false" customHeight="true" outlineLevel="0" collapsed="false">
      <c r="A16" s="1" t="s">
        <v>135</v>
      </c>
      <c r="B16" s="1" t="s">
        <v>511</v>
      </c>
      <c r="C16" s="1" t="s">
        <v>510</v>
      </c>
      <c r="D16" s="38" t="n">
        <f aca="false">'1. Press Assumptions'!$D$97</f>
        <v>0</v>
      </c>
      <c r="E16" s="215" t="n">
        <f aca="false">'1. Press Assumptions'!$E$97</f>
        <v>2</v>
      </c>
      <c r="F16" s="1" t="n">
        <f aca="false">'1. Press Assumptions'!$D$97*'1. Press Assumptions'!$E$97</f>
        <v>0</v>
      </c>
      <c r="G16" s="1" t="n">
        <v>1</v>
      </c>
      <c r="H16" s="1" t="n">
        <v>306</v>
      </c>
      <c r="I16" s="1" t="n">
        <v>183.6</v>
      </c>
      <c r="J16" s="1" t="n">
        <v>180.8304</v>
      </c>
      <c r="K16" s="1" t="n">
        <v>6.02768</v>
      </c>
      <c r="L16" s="1" t="n">
        <v>0.653886319719487</v>
      </c>
    </row>
    <row r="17" customFormat="false" ht="15" hidden="false" customHeight="true" outlineLevel="0" collapsed="false">
      <c r="A17" s="1" t="s">
        <v>137</v>
      </c>
      <c r="B17" s="1" t="s">
        <v>511</v>
      </c>
      <c r="C17" s="1" t="s">
        <v>512</v>
      </c>
      <c r="D17" s="38" t="n">
        <f aca="false">'1. Press Assumptions'!$D$98</f>
        <v>0</v>
      </c>
      <c r="E17" s="215" t="n">
        <f aca="false">'1. Press Assumptions'!$E$98</f>
        <v>2</v>
      </c>
      <c r="F17" s="1" t="n">
        <f aca="false">'1. Press Assumptions'!$D$98*'1. Press Assumptions'!$E$98</f>
        <v>0</v>
      </c>
      <c r="G17" s="1" t="n">
        <v>0.85</v>
      </c>
      <c r="H17" s="1" t="n">
        <v>128.913893403861</v>
      </c>
      <c r="I17" s="1" t="n">
        <v>77.3483360423167</v>
      </c>
      <c r="J17" s="1" t="n">
        <v>74.5787360423167</v>
      </c>
      <c r="K17" s="1" t="n">
        <v>2.48595786807722</v>
      </c>
      <c r="L17" s="1" t="n">
        <v>0.311822867853159</v>
      </c>
    </row>
    <row r="18" customFormat="false" ht="15" hidden="false" customHeight="true" outlineLevel="0" collapsed="false">
      <c r="A18" s="1" t="s">
        <v>139</v>
      </c>
      <c r="B18" s="1" t="s">
        <v>511</v>
      </c>
      <c r="C18" s="1" t="s">
        <v>513</v>
      </c>
      <c r="D18" s="38" t="n">
        <f aca="false">'1. Press Assumptions'!$D$99</f>
        <v>0</v>
      </c>
      <c r="E18" s="215" t="n">
        <f aca="false">'1. Press Assumptions'!$E$99</f>
        <v>2</v>
      </c>
      <c r="F18" s="1" t="n">
        <f aca="false">'1. Press Assumptions'!$D$99*'1. Press Assumptions'!$E$99</f>
        <v>0</v>
      </c>
      <c r="G18" s="1" t="n">
        <v>0.8</v>
      </c>
      <c r="H18" s="1" t="n">
        <v>101.2346282324</v>
      </c>
      <c r="I18" s="1" t="n">
        <v>60.7407769394399</v>
      </c>
      <c r="J18" s="1" t="n">
        <v>57.9711769394399</v>
      </c>
      <c r="K18" s="1" t="n">
        <v>1.932372564648</v>
      </c>
      <c r="L18" s="1" t="n">
        <v>0.20197646577625</v>
      </c>
    </row>
    <row r="20" customFormat="false" ht="15" hidden="false" customHeight="true" outlineLevel="0" collapsed="false">
      <c r="A20" s="34" t="s">
        <v>515</v>
      </c>
      <c r="B20" s="216"/>
      <c r="C20" s="216"/>
      <c r="D20" s="216"/>
      <c r="E20" s="216"/>
      <c r="F20" s="216"/>
      <c r="G20" s="216"/>
      <c r="H20" s="216"/>
    </row>
    <row r="21" customFormat="false" ht="15" hidden="false" customHeight="true" outlineLevel="0" collapsed="false">
      <c r="A21" s="217" t="s">
        <v>516</v>
      </c>
      <c r="B21" s="218"/>
      <c r="C21" s="218"/>
      <c r="D21" s="218"/>
      <c r="E21" s="218"/>
      <c r="F21" s="218"/>
      <c r="G21" s="218"/>
      <c r="H21" s="86"/>
    </row>
    <row r="22" customFormat="false" ht="15" hidden="false" customHeight="true" outlineLevel="0" collapsed="false">
      <c r="A22" s="90" t="s">
        <v>204</v>
      </c>
      <c r="B22" s="90" t="s">
        <v>517</v>
      </c>
      <c r="C22" s="90" t="s">
        <v>208</v>
      </c>
      <c r="D22" s="90" t="s">
        <v>518</v>
      </c>
      <c r="E22" s="90" t="s">
        <v>519</v>
      </c>
      <c r="F22" s="90" t="s">
        <v>520</v>
      </c>
      <c r="G22" s="219" t="s">
        <v>521</v>
      </c>
      <c r="H22" s="90" t="s">
        <v>522</v>
      </c>
    </row>
    <row r="23" customFormat="false" ht="15" hidden="false" customHeight="true" outlineLevel="0" collapsed="false">
      <c r="A23" s="220" t="s">
        <v>117</v>
      </c>
      <c r="B23" s="221" t="n">
        <f aca="false">_Engine_R50!$E$6</f>
        <v>25</v>
      </c>
      <c r="C23" s="86" t="n">
        <f aca="false">_Engine_R50!$G$6</f>
        <v>0.95</v>
      </c>
      <c r="D23" s="86" t="n">
        <f aca="false">SUM(_Engine_R50!F31:F210)/12</f>
        <v>259.227196506572</v>
      </c>
      <c r="E23" s="222" t="n">
        <f aca="false">D23/SUM(D$23:D$27)</f>
        <v>0.291758378247623</v>
      </c>
      <c r="F23" s="86" t="n">
        <f aca="false">_Engine_R50!F150*'1. Press Assumptions'!$B$116*'1. Press Assumptions'!$B$117</f>
        <v>0</v>
      </c>
      <c r="G23" s="222" t="n">
        <f aca="false">(D23+F23)/(SUM(D$23:D$27)+SUM(F$23:F$27)) * _Engine_R50!$B$250</f>
        <v>131.209312350199</v>
      </c>
      <c r="H23" s="222" t="n">
        <f aca="false">G23/SUM(G$23:G$27)</f>
        <v>0.291758378247623</v>
      </c>
    </row>
    <row r="24" customFormat="false" ht="15" hidden="false" customHeight="true" outlineLevel="0" collapsed="false">
      <c r="A24" s="220" t="s">
        <v>120</v>
      </c>
      <c r="B24" s="221" t="n">
        <f aca="false">_Engine_R50!$E$7</f>
        <v>25</v>
      </c>
      <c r="C24" s="86" t="n">
        <f aca="false">_Engine_R50!$G$7</f>
        <v>0.9</v>
      </c>
      <c r="D24" s="86" t="n">
        <f aca="false">SUM(_Engine_R50!G31:G210)/12</f>
        <v>186.14460462361</v>
      </c>
      <c r="E24" s="222" t="n">
        <f aca="false">D24/SUM(D$23:D$27)</f>
        <v>0.209504437406329</v>
      </c>
      <c r="F24" s="86" t="n">
        <f aca="false">_Engine_R50!G150*'1. Press Assumptions'!$B$116*'1. Press Assumptions'!$B$117</f>
        <v>0</v>
      </c>
      <c r="G24" s="222" t="n">
        <f aca="false">(D24+F24)/(SUM(D$23:D$27)+SUM(F$23:F$27)) * _Engine_R50!$B$250</f>
        <v>94.2181449304231</v>
      </c>
      <c r="H24" s="222" t="n">
        <f aca="false">G24/SUM(G$23:G$27)</f>
        <v>0.209504437406329</v>
      </c>
    </row>
    <row r="25" customFormat="false" ht="15" hidden="false" customHeight="true" outlineLevel="0" collapsed="false">
      <c r="A25" s="220" t="s">
        <v>123</v>
      </c>
      <c r="B25" s="221" t="n">
        <f aca="false">_Engine_R50!$E$8</f>
        <v>25</v>
      </c>
      <c r="C25" s="86" t="n">
        <f aca="false">_Engine_R50!$G$8</f>
        <v>0.85</v>
      </c>
      <c r="D25" s="86" t="n">
        <f aca="false">SUM(_Engine_R50!H31:H210)/12</f>
        <v>139.170185708868</v>
      </c>
      <c r="E25" s="222" t="n">
        <f aca="false">D25/SUM(D$23:D$27)</f>
        <v>0.156635060788502</v>
      </c>
      <c r="F25" s="86" t="n">
        <f aca="false">_Engine_R50!H150*'1. Press Assumptions'!$B$116*'1. Press Assumptions'!$B$117</f>
        <v>0</v>
      </c>
      <c r="G25" s="222" t="n">
        <f aca="false">(D25+F25)/(SUM(D$23:D$27)+SUM(F$23:F$27)) * _Engine_R50!$B$250</f>
        <v>70.4417769917406</v>
      </c>
      <c r="H25" s="222" t="n">
        <f aca="false">G25/SUM(G$23:G$27)</f>
        <v>0.156635060788502</v>
      </c>
    </row>
    <row r="26" customFormat="false" ht="15" hidden="false" customHeight="true" outlineLevel="0" collapsed="false">
      <c r="A26" s="220" t="s">
        <v>126</v>
      </c>
      <c r="B26" s="221" t="n">
        <f aca="false">_Engine_R50!$E$9</f>
        <v>25</v>
      </c>
      <c r="C26" s="86" t="n">
        <f aca="false">_Engine_R50!$G$9</f>
        <v>0.85</v>
      </c>
      <c r="D26" s="86" t="n">
        <f aca="false">SUM(_Engine_R50!I31:I210)/12</f>
        <v>138.296095746102</v>
      </c>
      <c r="E26" s="222" t="n">
        <f aca="false">D26/SUM(D$23:D$27)</f>
        <v>0.155651278710788</v>
      </c>
      <c r="F26" s="86" t="n">
        <f aca="false">_Engine_R50!I150*'1. Press Assumptions'!$B$116*'1. Press Assumptions'!$B$117</f>
        <v>0</v>
      </c>
      <c r="G26" s="222" t="n">
        <f aca="false">(D26+F26)/(SUM(D$23:D$27)+SUM(F$23:F$27)) * _Engine_R50!$B$250</f>
        <v>69.999351411044</v>
      </c>
      <c r="H26" s="222" t="n">
        <f aca="false">G26/SUM(G$23:G$27)</f>
        <v>0.155651278710788</v>
      </c>
    </row>
    <row r="27" customFormat="false" ht="15" hidden="false" customHeight="true" outlineLevel="0" collapsed="false">
      <c r="A27" s="220" t="s">
        <v>128</v>
      </c>
      <c r="B27" s="221" t="n">
        <f aca="false">_Engine_R50!$E$10</f>
        <v>18</v>
      </c>
      <c r="C27" s="86" t="n">
        <f aca="false">_Engine_R50!$G$10</f>
        <v>0.95</v>
      </c>
      <c r="D27" s="86" t="n">
        <f aca="false">SUM(_Engine_R50!J31:J210)/12</f>
        <v>165.661497319146</v>
      </c>
      <c r="E27" s="222" t="n">
        <f aca="false">D27/SUM(D$23:D$27)</f>
        <v>0.186450844846758</v>
      </c>
      <c r="F27" s="86" t="n">
        <f aca="false">_Engine_R50!J150*'1. Press Assumptions'!$B$116*'1. Press Assumptions'!$B$117</f>
        <v>0</v>
      </c>
      <c r="G27" s="222" t="n">
        <f aca="false">(D27+F27)/(SUM(D$23:D$27)+SUM(F$23:F$27)) * _Engine_R50!$B$250</f>
        <v>83.8505042645027</v>
      </c>
      <c r="H27" s="222" t="n">
        <f aca="false">G27/SUM(G$23:G$27)</f>
        <v>0.186450844846758</v>
      </c>
    </row>
    <row r="28" customFormat="false" ht="15" hidden="false" customHeight="true" outlineLevel="0" collapsed="false">
      <c r="A28" s="220" t="s">
        <v>212</v>
      </c>
      <c r="B28" s="86"/>
      <c r="C28" s="86"/>
      <c r="D28" s="86" t="n">
        <f aca="false">SUM(D23:D27)</f>
        <v>888.499579904299</v>
      </c>
      <c r="E28" s="222" t="n">
        <f aca="false">SUM(E23:E27)</f>
        <v>1</v>
      </c>
      <c r="F28" s="86" t="n">
        <f aca="false">SUM(F23:F27)</f>
        <v>0</v>
      </c>
      <c r="G28" s="223" t="n">
        <f aca="false">SUM(G23:G27)</f>
        <v>449.719089947909</v>
      </c>
      <c r="H28" s="222" t="n">
        <f aca="false">SUM(H23:H27)</f>
        <v>1</v>
      </c>
    </row>
    <row r="29" customFormat="false" ht="15" hidden="false" customHeight="true" outlineLevel="0" collapsed="false">
      <c r="A29" s="86"/>
      <c r="B29" s="86"/>
      <c r="C29" s="86"/>
      <c r="D29" s="86"/>
      <c r="E29" s="86"/>
      <c r="F29" s="86"/>
      <c r="G29" s="86"/>
      <c r="H29" s="86"/>
    </row>
    <row r="30" customFormat="false" ht="15" hidden="false" customHeight="true" outlineLevel="0" collapsed="false">
      <c r="A30" s="5" t="s">
        <v>523</v>
      </c>
      <c r="B30" s="86" t="n">
        <f aca="false">LARGE(G23:G27,1)+LARGE(G23:G27,2)</f>
        <v>225.427457280622</v>
      </c>
      <c r="C30" s="224" t="n">
        <f aca="false">B30/SUM(G23:G27)</f>
        <v>0.501262815653952</v>
      </c>
      <c r="D30" s="86"/>
      <c r="E30" s="86"/>
      <c r="F30" s="86"/>
      <c r="G30" s="86"/>
      <c r="H30" s="86"/>
    </row>
    <row r="31" customFormat="false" ht="15" hidden="false" customHeight="true" outlineLevel="0" collapsed="false">
      <c r="A31" s="9" t="s">
        <v>524</v>
      </c>
      <c r="B31" s="86"/>
      <c r="C31" s="86"/>
      <c r="D31" s="86"/>
      <c r="E31" s="86"/>
      <c r="F31" s="86"/>
      <c r="G31" s="86"/>
      <c r="H31" s="86"/>
    </row>
    <row r="33" customFormat="false" ht="15" hidden="false" customHeight="true" outlineLevel="0" collapsed="false">
      <c r="A33" s="34" t="s">
        <v>525</v>
      </c>
      <c r="B33" s="216"/>
      <c r="C33" s="216"/>
      <c r="D33" s="216"/>
      <c r="E33" s="216"/>
      <c r="F33" s="216"/>
      <c r="G33" s="216"/>
      <c r="H33" s="216"/>
    </row>
    <row r="34" customFormat="false" ht="15" hidden="false" customHeight="true" outlineLevel="0" collapsed="false">
      <c r="A34" s="90" t="s">
        <v>204</v>
      </c>
      <c r="B34" s="90" t="s">
        <v>517</v>
      </c>
      <c r="C34" s="90" t="s">
        <v>208</v>
      </c>
      <c r="D34" s="90" t="s">
        <v>518</v>
      </c>
      <c r="E34" s="90" t="s">
        <v>519</v>
      </c>
      <c r="F34" s="90" t="s">
        <v>526</v>
      </c>
      <c r="G34" s="90" t="s">
        <v>521</v>
      </c>
      <c r="H34" s="90" t="s">
        <v>522</v>
      </c>
    </row>
    <row r="35" customFormat="false" ht="15" hidden="false" customHeight="true" outlineLevel="0" collapsed="false">
      <c r="A35" s="220" t="s">
        <v>117</v>
      </c>
      <c r="B35" s="221" t="n">
        <f aca="false">_Engine_R50!$E$6</f>
        <v>25</v>
      </c>
      <c r="C35" s="86" t="n">
        <f aca="false">_Engine_R50!$G$6</f>
        <v>0.95</v>
      </c>
      <c r="D35" s="86" t="n">
        <f aca="false">SUM(_Engine_R50!F31:F210)/12</f>
        <v>259.227196506572</v>
      </c>
      <c r="E35" s="222" t="n">
        <f aca="false">D35/SUM(D$35:D$43)</f>
        <v>0.291758378247623</v>
      </c>
      <c r="F35" s="86" t="n">
        <f aca="false">_Engine_R50!F150*'1. Press Assumptions'!$B$116*'1. Press Assumptions'!$B$117</f>
        <v>0</v>
      </c>
      <c r="G35" s="86" t="n">
        <f aca="false">(D35+F35)/(SUM(D$35:D$43)+SUM(F$35:F$43)) * _Engine_R50!$B$250</f>
        <v>131.209312350199</v>
      </c>
      <c r="H35" s="222" t="n">
        <f aca="false">G35/SUM(G$35:G$43)</f>
        <v>0.291758378247623</v>
      </c>
    </row>
    <row r="36" customFormat="false" ht="15" hidden="false" customHeight="true" outlineLevel="0" collapsed="false">
      <c r="A36" s="220" t="s">
        <v>120</v>
      </c>
      <c r="B36" s="221" t="n">
        <f aca="false">_Engine_R50!$E$7</f>
        <v>25</v>
      </c>
      <c r="C36" s="86" t="n">
        <f aca="false">_Engine_R50!$G$7</f>
        <v>0.9</v>
      </c>
      <c r="D36" s="86" t="n">
        <f aca="false">SUM(_Engine_R50!G31:G210)/12</f>
        <v>186.14460462361</v>
      </c>
      <c r="E36" s="222" t="n">
        <f aca="false">D36/SUM(D$35:D$43)</f>
        <v>0.209504437406329</v>
      </c>
      <c r="F36" s="86" t="n">
        <f aca="false">_Engine_R50!G150*'1. Press Assumptions'!$B$116*'1. Press Assumptions'!$B$117</f>
        <v>0</v>
      </c>
      <c r="G36" s="86" t="n">
        <f aca="false">(D36+F36)/(SUM(D$35:D$43)+SUM(F$35:F$43)) * _Engine_R50!$B$250</f>
        <v>94.2181449304231</v>
      </c>
      <c r="H36" s="222" t="n">
        <f aca="false">G36/SUM(G$35:G$43)</f>
        <v>0.209504437406329</v>
      </c>
    </row>
    <row r="37" customFormat="false" ht="15" hidden="false" customHeight="true" outlineLevel="0" collapsed="false">
      <c r="A37" s="220" t="s">
        <v>123</v>
      </c>
      <c r="B37" s="221" t="n">
        <f aca="false">_Engine_R50!$E$8</f>
        <v>25</v>
      </c>
      <c r="C37" s="86" t="n">
        <f aca="false">_Engine_R50!$G$8</f>
        <v>0.85</v>
      </c>
      <c r="D37" s="86" t="n">
        <f aca="false">SUM(_Engine_R50!H31:H210)/12</f>
        <v>139.170185708868</v>
      </c>
      <c r="E37" s="222" t="n">
        <f aca="false">D37/SUM(D$35:D$43)</f>
        <v>0.156635060788502</v>
      </c>
      <c r="F37" s="86" t="n">
        <f aca="false">_Engine_R50!H150*'1. Press Assumptions'!$B$116*'1. Press Assumptions'!$B$117</f>
        <v>0</v>
      </c>
      <c r="G37" s="86" t="n">
        <f aca="false">(D37+F37)/(SUM(D$35:D$43)+SUM(F$35:F$43)) * _Engine_R50!$B$250</f>
        <v>70.4417769917406</v>
      </c>
      <c r="H37" s="222" t="n">
        <f aca="false">G37/SUM(G$35:G$43)</f>
        <v>0.156635060788502</v>
      </c>
    </row>
    <row r="38" customFormat="false" ht="15" hidden="false" customHeight="true" outlineLevel="0" collapsed="false">
      <c r="A38" s="220" t="s">
        <v>126</v>
      </c>
      <c r="B38" s="221" t="n">
        <f aca="false">_Engine_R50!$E$9</f>
        <v>25</v>
      </c>
      <c r="C38" s="86" t="n">
        <f aca="false">_Engine_R50!$G$9</f>
        <v>0.85</v>
      </c>
      <c r="D38" s="86" t="n">
        <f aca="false">SUM(_Engine_R50!I31:I210)/12</f>
        <v>138.296095746102</v>
      </c>
      <c r="E38" s="222" t="n">
        <f aca="false">D38/SUM(D$35:D$43)</f>
        <v>0.155651278710788</v>
      </c>
      <c r="F38" s="86" t="n">
        <f aca="false">_Engine_R50!I150*'1. Press Assumptions'!$B$116*'1. Press Assumptions'!$B$117</f>
        <v>0</v>
      </c>
      <c r="G38" s="86" t="n">
        <f aca="false">(D38+F38)/(SUM(D$35:D$43)+SUM(F$35:F$43)) * _Engine_R50!$B$250</f>
        <v>69.999351411044</v>
      </c>
      <c r="H38" s="222" t="n">
        <f aca="false">G38/SUM(G$35:G$43)</f>
        <v>0.155651278710788</v>
      </c>
    </row>
    <row r="39" customFormat="false" ht="15" hidden="false" customHeight="true" outlineLevel="0" collapsed="false">
      <c r="A39" s="220" t="s">
        <v>128</v>
      </c>
      <c r="B39" s="221" t="n">
        <f aca="false">_Engine_R50!$E$10</f>
        <v>18</v>
      </c>
      <c r="C39" s="86" t="n">
        <f aca="false">_Engine_R50!$G$10</f>
        <v>0.95</v>
      </c>
      <c r="D39" s="86" t="n">
        <f aca="false">SUM(_Engine_R50!J31:J210)/12</f>
        <v>165.661497319146</v>
      </c>
      <c r="E39" s="222" t="n">
        <f aca="false">D39/SUM(D$35:D$43)</f>
        <v>0.186450844846758</v>
      </c>
      <c r="F39" s="86" t="n">
        <f aca="false">_Engine_R50!J150*'1. Press Assumptions'!$B$116*'1. Press Assumptions'!$B$117</f>
        <v>0</v>
      </c>
      <c r="G39" s="86" t="n">
        <f aca="false">(D39+F39)/(SUM(D$35:D$43)+SUM(F$35:F$43)) * _Engine_R50!$B$250</f>
        <v>83.8505042645027</v>
      </c>
      <c r="H39" s="222" t="n">
        <f aca="false">G39/SUM(G$35:G$43)</f>
        <v>0.186450844846758</v>
      </c>
    </row>
    <row r="40" customFormat="false" ht="15" hidden="false" customHeight="true" outlineLevel="0" collapsed="false">
      <c r="A40" s="220" t="s">
        <v>132</v>
      </c>
      <c r="B40" s="221" t="n">
        <f aca="false">_Engine_R50!$E$11</f>
        <v>0</v>
      </c>
      <c r="C40" s="86" t="n">
        <f aca="false">_Engine_R50!$G$11</f>
        <v>0.95</v>
      </c>
      <c r="D40" s="86" t="n">
        <f aca="false">SUM(_Engine_R50!K31:K210)/12</f>
        <v>0</v>
      </c>
      <c r="E40" s="222" t="n">
        <f aca="false">D40/SUM(D$35:D$43)</f>
        <v>0</v>
      </c>
      <c r="F40" s="86" t="n">
        <f aca="false">_Engine_R50!K150*'1. Press Assumptions'!$B$116*'1. Press Assumptions'!$B$117</f>
        <v>0</v>
      </c>
      <c r="G40" s="86" t="n">
        <f aca="false">(D40+F40)/(SUM(D$35:D$43)+SUM(F$35:F$43)) * _Engine_R50!$B$250</f>
        <v>0</v>
      </c>
      <c r="H40" s="222" t="n">
        <f aca="false">G40/SUM(G$35:G$43)</f>
        <v>0</v>
      </c>
    </row>
    <row r="41" customFormat="false" ht="15" hidden="false" customHeight="true" outlineLevel="0" collapsed="false">
      <c r="A41" s="220" t="s">
        <v>135</v>
      </c>
      <c r="B41" s="221" t="n">
        <f aca="false">_Engine_R50!$E$12</f>
        <v>0</v>
      </c>
      <c r="C41" s="86" t="n">
        <f aca="false">_Engine_R50!$G$12</f>
        <v>0.95</v>
      </c>
      <c r="D41" s="86" t="n">
        <f aca="false">SUM(_Engine_R50!L31:L210)/12</f>
        <v>0</v>
      </c>
      <c r="E41" s="222" t="n">
        <f aca="false">D41/SUM(D$35:D$43)</f>
        <v>0</v>
      </c>
      <c r="F41" s="86" t="n">
        <f aca="false">_Engine_R50!L150*'1. Press Assumptions'!$B$116*'1. Press Assumptions'!$B$117</f>
        <v>0</v>
      </c>
      <c r="G41" s="86" t="n">
        <f aca="false">(D41+F41)/(SUM(D$35:D$43)+SUM(F$35:F$43)) * _Engine_R50!$B$250</f>
        <v>0</v>
      </c>
      <c r="H41" s="222" t="n">
        <f aca="false">G41/SUM(G$35:G$43)</f>
        <v>0</v>
      </c>
    </row>
    <row r="42" customFormat="false" ht="15" hidden="false" customHeight="true" outlineLevel="0" collapsed="false">
      <c r="A42" s="220" t="s">
        <v>137</v>
      </c>
      <c r="B42" s="221" t="n">
        <f aca="false">_Engine_R50!$E$13</f>
        <v>0</v>
      </c>
      <c r="C42" s="86" t="n">
        <f aca="false">_Engine_R50!$G$13</f>
        <v>0.95</v>
      </c>
      <c r="D42" s="86" t="n">
        <f aca="false">SUM(_Engine_R50!M31:M210)/12</f>
        <v>0</v>
      </c>
      <c r="E42" s="222" t="n">
        <f aca="false">D42/SUM(D$35:D$43)</f>
        <v>0</v>
      </c>
      <c r="F42" s="86" t="n">
        <f aca="false">_Engine_R50!M150*'1. Press Assumptions'!$B$116*'1. Press Assumptions'!$B$117</f>
        <v>0</v>
      </c>
      <c r="G42" s="86" t="n">
        <f aca="false">(D42+F42)/(SUM(D$35:D$43)+SUM(F$35:F$43)) * _Engine_R50!$B$250</f>
        <v>0</v>
      </c>
      <c r="H42" s="222" t="n">
        <f aca="false">G42/SUM(G$35:G$43)</f>
        <v>0</v>
      </c>
    </row>
    <row r="43" customFormat="false" ht="15" hidden="false" customHeight="true" outlineLevel="0" collapsed="false">
      <c r="A43" s="220" t="s">
        <v>139</v>
      </c>
      <c r="B43" s="221" t="n">
        <f aca="false">_Engine_R50!$E$14</f>
        <v>0</v>
      </c>
      <c r="C43" s="86" t="n">
        <f aca="false">_Engine_R50!$G$14</f>
        <v>0.95</v>
      </c>
      <c r="D43" s="86" t="n">
        <f aca="false">SUM(_Engine_R50!N31:N210)/12</f>
        <v>0</v>
      </c>
      <c r="E43" s="222" t="n">
        <f aca="false">D43/SUM(D$35:D$43)</f>
        <v>0</v>
      </c>
      <c r="F43" s="86" t="n">
        <f aca="false">_Engine_R50!N150*'1. Press Assumptions'!$B$116*'1. Press Assumptions'!$B$117</f>
        <v>0</v>
      </c>
      <c r="G43" s="86" t="n">
        <f aca="false">(D43+F43)/(SUM(D$35:D$43)+SUM(F$35:F$43)) * _Engine_R50!$B$250</f>
        <v>0</v>
      </c>
      <c r="H43" s="222" t="n">
        <f aca="false">G43/SUM(G$35:G$43)</f>
        <v>0</v>
      </c>
    </row>
    <row r="44" customFormat="false" ht="15" hidden="false" customHeight="true" outlineLevel="0" collapsed="false">
      <c r="A44" s="220" t="s">
        <v>212</v>
      </c>
      <c r="B44" s="86"/>
      <c r="C44" s="86"/>
      <c r="D44" s="86" t="n">
        <f aca="false">SUM(D35:D43)</f>
        <v>888.499579904299</v>
      </c>
      <c r="E44" s="222" t="n">
        <f aca="false">SUM(E35:E43)</f>
        <v>1</v>
      </c>
      <c r="F44" s="86" t="n">
        <f aca="false">SUM(F35:F43)</f>
        <v>0</v>
      </c>
      <c r="G44" s="86" t="n">
        <f aca="false">SUM(G35:G43)</f>
        <v>449.719089947909</v>
      </c>
      <c r="H44" s="222" t="n">
        <f aca="false">SUM(H35:H43)</f>
        <v>1</v>
      </c>
    </row>
    <row r="45" customFormat="false" ht="15" hidden="false" customHeight="true" outlineLevel="0" collapsed="false">
      <c r="A45" s="86"/>
      <c r="B45" s="86"/>
      <c r="C45" s="86"/>
      <c r="D45" s="86"/>
      <c r="E45" s="86"/>
      <c r="F45" s="86"/>
      <c r="G45" s="86"/>
      <c r="H45" s="86"/>
    </row>
    <row r="46" customFormat="false" ht="15" hidden="false" customHeight="true" outlineLevel="0" collapsed="false">
      <c r="A46" s="5" t="s">
        <v>527</v>
      </c>
      <c r="B46" s="224" t="n">
        <f aca="false">(LARGE(G35:G43,1)+LARGE(G35:G43,2))/SUM(G35:G43)</f>
        <v>0.501262815653952</v>
      </c>
      <c r="C46" s="86"/>
      <c r="D46" s="86"/>
      <c r="E46" s="86"/>
      <c r="F46" s="86"/>
      <c r="G46" s="86"/>
      <c r="H46" s="86"/>
    </row>
    <row r="47" customFormat="false" ht="15" hidden="false" customHeight="true" outlineLevel="0" collapsed="false">
      <c r="A47" s="86" t="s">
        <v>528</v>
      </c>
      <c r="B47" s="222" t="n">
        <f aca="false">SUM(LARGE(G35:G43,{1,2,3,4}))/SUM(G35:G43)</f>
        <v>0.844348721289212</v>
      </c>
      <c r="C47" s="86"/>
      <c r="D47" s="86"/>
      <c r="E47" s="86"/>
      <c r="F47" s="86"/>
      <c r="G47" s="86"/>
      <c r="H47" s="86"/>
    </row>
    <row r="48" customFormat="false" ht="15" hidden="false" customHeight="true" outlineLevel="0" collapsed="false">
      <c r="A48" s="86"/>
      <c r="B48" s="86"/>
      <c r="C48" s="86"/>
      <c r="D48" s="86"/>
      <c r="E48" s="86"/>
      <c r="F48" s="86"/>
      <c r="G48" s="86"/>
      <c r="H48" s="86"/>
    </row>
    <row r="49" customFormat="false" ht="15" hidden="false" customHeight="true" outlineLevel="0" collapsed="false">
      <c r="A49" s="34"/>
      <c r="B49" s="216"/>
      <c r="C49" s="216"/>
      <c r="D49" s="216"/>
      <c r="E49" s="216"/>
      <c r="F49" s="216"/>
      <c r="G49" s="216"/>
      <c r="H49" s="216"/>
    </row>
    <row r="50" customFormat="false" ht="15" hidden="false" customHeight="true" outlineLevel="0" collapsed="false">
      <c r="A50" s="90"/>
      <c r="B50" s="90"/>
      <c r="C50" s="90"/>
      <c r="D50" s="90"/>
      <c r="E50" s="90"/>
      <c r="F50" s="90"/>
      <c r="G50" s="90"/>
      <c r="H50" s="90"/>
    </row>
    <row r="51" customFormat="false" ht="15" hidden="false" customHeight="true" outlineLevel="0" collapsed="false">
      <c r="A51" s="220"/>
      <c r="B51" s="221"/>
      <c r="C51" s="86"/>
      <c r="D51" s="86"/>
      <c r="E51" s="222"/>
      <c r="F51" s="86"/>
      <c r="G51" s="86"/>
      <c r="H51" s="222"/>
    </row>
    <row r="52" customFormat="false" ht="15" hidden="false" customHeight="true" outlineLevel="0" collapsed="false">
      <c r="A52" s="220"/>
      <c r="B52" s="221"/>
      <c r="C52" s="86"/>
      <c r="D52" s="86"/>
      <c r="E52" s="222"/>
      <c r="F52" s="86"/>
      <c r="G52" s="86"/>
      <c r="H52" s="222"/>
    </row>
    <row r="53" customFormat="false" ht="15" hidden="false" customHeight="true" outlineLevel="0" collapsed="false">
      <c r="A53" s="220"/>
      <c r="B53" s="221"/>
      <c r="C53" s="86"/>
      <c r="D53" s="86"/>
      <c r="E53" s="222"/>
      <c r="F53" s="86"/>
      <c r="G53" s="86"/>
      <c r="H53" s="222"/>
    </row>
    <row r="54" customFormat="false" ht="15" hidden="false" customHeight="true" outlineLevel="0" collapsed="false">
      <c r="A54" s="220"/>
      <c r="B54" s="221"/>
      <c r="C54" s="86"/>
      <c r="D54" s="86"/>
      <c r="E54" s="222"/>
      <c r="F54" s="86"/>
      <c r="G54" s="86"/>
      <c r="H54" s="222"/>
    </row>
    <row r="55" customFormat="false" ht="15" hidden="false" customHeight="true" outlineLevel="0" collapsed="false">
      <c r="A55" s="220"/>
      <c r="B55" s="221"/>
      <c r="C55" s="86"/>
      <c r="D55" s="86"/>
      <c r="E55" s="222"/>
      <c r="F55" s="86"/>
      <c r="G55" s="86"/>
      <c r="H55" s="222"/>
    </row>
    <row r="56" customFormat="false" ht="15" hidden="false" customHeight="true" outlineLevel="0" collapsed="false">
      <c r="A56" s="220"/>
      <c r="B56" s="86"/>
      <c r="C56" s="86"/>
      <c r="D56" s="86"/>
      <c r="E56" s="222"/>
      <c r="F56" s="86"/>
      <c r="G56" s="86"/>
      <c r="H56" s="222"/>
    </row>
    <row r="57" customFormat="false" ht="15" hidden="false" customHeight="true" outlineLevel="0" collapsed="false">
      <c r="A57" s="220"/>
      <c r="B57" s="86"/>
      <c r="C57" s="86"/>
      <c r="D57" s="86"/>
      <c r="E57" s="222"/>
      <c r="F57" s="86"/>
      <c r="G57" s="86"/>
      <c r="H57" s="222"/>
    </row>
    <row r="58" customFormat="false" ht="15" hidden="false" customHeight="true" outlineLevel="0" collapsed="false">
      <c r="A58" s="220"/>
      <c r="B58" s="86"/>
      <c r="C58" s="86"/>
      <c r="D58" s="86"/>
      <c r="E58" s="222"/>
      <c r="F58" s="86"/>
      <c r="G58" s="86"/>
      <c r="H58" s="222"/>
    </row>
    <row r="59" customFormat="false" ht="15" hidden="false" customHeight="true" outlineLevel="0" collapsed="false">
      <c r="A59" s="220"/>
      <c r="B59" s="86"/>
      <c r="C59" s="86"/>
      <c r="D59" s="86"/>
      <c r="E59" s="222"/>
      <c r="F59" s="86"/>
      <c r="G59" s="86"/>
      <c r="H59" s="222"/>
    </row>
    <row r="60" customFormat="false" ht="15" hidden="false" customHeight="true" outlineLevel="0" collapsed="false">
      <c r="A60" s="220"/>
      <c r="B60" s="86"/>
      <c r="C60" s="86"/>
      <c r="D60" s="86"/>
      <c r="E60" s="222"/>
      <c r="F60" s="86"/>
      <c r="G60" s="86"/>
      <c r="H60" s="222"/>
    </row>
    <row r="61" customFormat="false" ht="15" hidden="false" customHeight="true" outlineLevel="0" collapsed="false">
      <c r="A61" s="86"/>
      <c r="B61" s="86"/>
      <c r="C61" s="86"/>
      <c r="D61" s="86"/>
      <c r="E61" s="86"/>
      <c r="F61" s="86"/>
      <c r="G61" s="86"/>
      <c r="H61" s="86"/>
    </row>
    <row r="62" customFormat="false" ht="15" hidden="false" customHeight="true" outlineLevel="0" collapsed="false">
      <c r="A62" s="5"/>
      <c r="B62" s="224"/>
      <c r="C62" s="86"/>
      <c r="D62" s="86"/>
      <c r="E62" s="86"/>
      <c r="F62" s="86"/>
      <c r="G62" s="86"/>
      <c r="H62" s="86"/>
    </row>
    <row r="63" customFormat="false" ht="15" hidden="false" customHeight="true" outlineLevel="0" collapsed="false">
      <c r="A63" s="86"/>
      <c r="B63" s="222"/>
      <c r="C63" s="86"/>
      <c r="D63" s="86"/>
      <c r="E63" s="86"/>
      <c r="F63" s="86"/>
      <c r="G63" s="86"/>
      <c r="H63" s="86"/>
    </row>
    <row r="64" customFormat="false" ht="15" hidden="false" customHeight="true" outlineLevel="0" collapsed="false">
      <c r="A64" s="86"/>
      <c r="B64" s="86"/>
      <c r="C64" s="86"/>
      <c r="D64" s="86"/>
      <c r="E64" s="86"/>
      <c r="F64" s="86"/>
      <c r="G64" s="86"/>
      <c r="H64" s="86"/>
    </row>
    <row r="65" customFormat="false" ht="15" hidden="false" customHeight="true" outlineLevel="0" collapsed="false">
      <c r="A65" s="86"/>
      <c r="B65" s="86"/>
      <c r="C65" s="86"/>
      <c r="D65" s="86"/>
      <c r="E65" s="86"/>
      <c r="F65" s="86"/>
      <c r="G65" s="86"/>
      <c r="H65" s="86"/>
    </row>
    <row r="66" customFormat="false" ht="15" hidden="false" customHeight="true" outlineLevel="0" collapsed="false">
      <c r="A66" s="86"/>
      <c r="B66" s="86"/>
      <c r="C66" s="86"/>
      <c r="D66" s="86"/>
      <c r="E66" s="86"/>
      <c r="F66" s="86"/>
      <c r="G66" s="86"/>
      <c r="H66" s="86"/>
    </row>
    <row r="67" customFormat="false" ht="15" hidden="false" customHeight="true" outlineLevel="0" collapsed="false">
      <c r="A67" s="86"/>
      <c r="B67" s="86"/>
      <c r="C67" s="86"/>
      <c r="D67" s="86"/>
      <c r="E67" s="86"/>
      <c r="F67" s="86"/>
      <c r="G67" s="86"/>
      <c r="H67" s="86"/>
    </row>
    <row r="68" customFormat="false" ht="15" hidden="false" customHeight="true" outlineLevel="0" collapsed="false">
      <c r="A68" s="86"/>
      <c r="B68" s="86"/>
      <c r="C68" s="86"/>
      <c r="D68" s="86"/>
      <c r="E68" s="86"/>
      <c r="F68" s="86"/>
      <c r="G68" s="86"/>
      <c r="H68" s="86"/>
    </row>
    <row r="69" customFormat="false" ht="15" hidden="false" customHeight="true" outlineLevel="0" collapsed="false">
      <c r="A69" s="86"/>
      <c r="B69" s="86"/>
      <c r="C69" s="86"/>
      <c r="D69" s="86"/>
      <c r="E69" s="86"/>
      <c r="F69" s="86"/>
      <c r="G69" s="86"/>
      <c r="H69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</cols>
  <sheetData>
    <row r="1" customFormat="false" ht="15.75" hidden="false" customHeight="true" outlineLevel="0" collapsed="false">
      <c r="A1" s="225" t="s">
        <v>529</v>
      </c>
      <c r="B1" s="3"/>
      <c r="C1" s="3"/>
      <c r="D1" s="3"/>
      <c r="I1" s="155"/>
    </row>
    <row r="2" customFormat="false" ht="15" hidden="false" customHeight="true" outlineLevel="0" collapsed="false">
      <c r="A2" s="156" t="s">
        <v>530</v>
      </c>
      <c r="B2" s="1" t="s">
        <v>531</v>
      </c>
    </row>
    <row r="4" customFormat="false" ht="15" hidden="false" customHeight="true" outlineLevel="0" collapsed="false">
      <c r="B4" s="43"/>
      <c r="C4" s="43" t="s">
        <v>532</v>
      </c>
      <c r="D4" s="43"/>
    </row>
    <row r="6" customFormat="false" ht="15" hidden="false" customHeight="true" outlineLevel="0" collapsed="false">
      <c r="A6" s="21" t="s">
        <v>533</v>
      </c>
      <c r="B6" s="3"/>
      <c r="C6" s="3"/>
      <c r="D6" s="3"/>
    </row>
    <row r="7" customFormat="false" ht="15" hidden="false" customHeight="true" outlineLevel="0" collapsed="false">
      <c r="A7" s="17" t="s">
        <v>534</v>
      </c>
      <c r="B7" s="45"/>
      <c r="C7" s="45" t="n">
        <f aca="false">'1. Press Assumptions'!$B$5/1000000</f>
        <v>150</v>
      </c>
      <c r="D7" s="45"/>
    </row>
    <row r="8" customFormat="false" ht="15" hidden="false" customHeight="true" outlineLevel="0" collapsed="false">
      <c r="A8" s="17" t="s">
        <v>535</v>
      </c>
      <c r="B8" s="45"/>
      <c r="C8" s="45" t="n">
        <f aca="false">'3. Deal Allocation'!F11</f>
        <v>179.1914</v>
      </c>
      <c r="D8" s="45"/>
    </row>
    <row r="9" customFormat="false" ht="15" hidden="false" customHeight="true" outlineLevel="0" collapsed="false">
      <c r="A9" s="17" t="s">
        <v>536</v>
      </c>
      <c r="B9" s="71"/>
      <c r="C9" s="71" t="n">
        <v>5</v>
      </c>
      <c r="D9" s="71"/>
    </row>
    <row r="10" customFormat="false" ht="15" hidden="false" customHeight="true" outlineLevel="0" collapsed="false">
      <c r="A10" s="17" t="s">
        <v>537</v>
      </c>
      <c r="B10" s="151"/>
      <c r="C10" s="151" t="n">
        <f aca="false">SUMPRODUCT('3. Deal Allocation'!B5:B9,'3. Deal Allocation'!C5:C9)/SUM('3. Deal Allocation'!B5:B9)</f>
        <v>1.57627118644068</v>
      </c>
      <c r="D10" s="151"/>
    </row>
    <row r="11" customFormat="false" ht="15" hidden="false" customHeight="true" outlineLevel="0" collapsed="false">
      <c r="A11" s="17" t="s">
        <v>538</v>
      </c>
      <c r="B11" s="114"/>
      <c r="C11" s="114" t="n">
        <f aca="false">SUMPRODUCT('3. Deal Allocation'!B5:B9,'3. Deal Allocation'!G5:G9)/SUM('3. Deal Allocation'!B5:B9)</f>
        <v>0.897033898305085</v>
      </c>
      <c r="D11" s="114"/>
    </row>
    <row r="12" customFormat="false" ht="15" hidden="false" customHeight="true" outlineLevel="0" collapsed="false">
      <c r="A12" s="17" t="s">
        <v>14</v>
      </c>
      <c r="B12" s="104"/>
      <c r="C12" s="104" t="s">
        <v>15</v>
      </c>
      <c r="D12" s="104"/>
    </row>
    <row r="14" customFormat="false" ht="15" hidden="false" customHeight="true" outlineLevel="0" collapsed="false">
      <c r="A14" s="21" t="s">
        <v>539</v>
      </c>
      <c r="B14" s="3"/>
      <c r="C14" s="3"/>
      <c r="D14" s="3"/>
    </row>
    <row r="15" customFormat="false" ht="15" hidden="false" customHeight="true" outlineLevel="0" collapsed="false">
      <c r="A15" s="18" t="s">
        <v>540</v>
      </c>
      <c r="B15" s="47"/>
      <c r="C15" s="47" t="n">
        <v>4</v>
      </c>
      <c r="D15" s="47"/>
    </row>
    <row r="16" customFormat="false" ht="15" hidden="false" customHeight="true" outlineLevel="0" collapsed="false">
      <c r="A16" s="17" t="s">
        <v>192</v>
      </c>
      <c r="B16" s="76"/>
      <c r="C16" s="76" t="n">
        <v>47</v>
      </c>
      <c r="D16" s="76"/>
    </row>
    <row r="18" customFormat="false" ht="15" hidden="false" customHeight="true" outlineLevel="0" collapsed="false">
      <c r="A18" s="21" t="s">
        <v>194</v>
      </c>
      <c r="B18" s="3"/>
      <c r="C18" s="3"/>
      <c r="D18" s="3"/>
    </row>
    <row r="19" customFormat="false" ht="15" hidden="false" customHeight="true" outlineLevel="0" collapsed="false">
      <c r="A19" s="18" t="s">
        <v>195</v>
      </c>
      <c r="B19" s="50"/>
      <c r="C19" s="50" t="n">
        <f aca="false">_Engine_R50!B277</f>
        <v>0.177771763690128</v>
      </c>
      <c r="D19" s="50"/>
    </row>
    <row r="20" customFormat="false" ht="15" hidden="false" customHeight="true" outlineLevel="0" collapsed="false">
      <c r="A20" s="18" t="s">
        <v>196</v>
      </c>
      <c r="B20" s="52"/>
      <c r="C20" s="52" t="n">
        <f aca="false">_Engine_R50!B254</f>
        <v>2.3673408877783</v>
      </c>
      <c r="D20" s="52"/>
    </row>
    <row r="21" customFormat="false" ht="15" hidden="false" customHeight="true" outlineLevel="0" collapsed="false">
      <c r="A21" s="17" t="s">
        <v>541</v>
      </c>
      <c r="B21" s="45"/>
      <c r="C21" s="45" t="n">
        <f aca="false">_Engine_R50!B253</f>
        <v>355.101133166746</v>
      </c>
      <c r="D21" s="45"/>
    </row>
    <row r="23" customFormat="false" ht="15" hidden="false" customHeight="true" outlineLevel="0" collapsed="false">
      <c r="A23" s="21" t="s">
        <v>198</v>
      </c>
      <c r="B23" s="3"/>
      <c r="C23" s="3"/>
      <c r="D23" s="3"/>
    </row>
    <row r="24" customFormat="false" ht="15" hidden="false" customHeight="true" outlineLevel="0" collapsed="false">
      <c r="A24" s="18" t="s">
        <v>195</v>
      </c>
      <c r="B24" s="50"/>
      <c r="C24" s="50" t="n">
        <f aca="false">_Engine_R50!B276</f>
        <v>0.194725922850455</v>
      </c>
      <c r="D24" s="50"/>
    </row>
    <row r="25" customFormat="false" ht="15" hidden="false" customHeight="true" outlineLevel="0" collapsed="false">
      <c r="A25" s="18" t="s">
        <v>196</v>
      </c>
      <c r="B25" s="52"/>
      <c r="C25" s="52" t="n">
        <f aca="false">_Engine_R50!B252</f>
        <v>2.9981272663194</v>
      </c>
      <c r="D25" s="52"/>
    </row>
    <row r="26" customFormat="false" ht="15" hidden="false" customHeight="true" outlineLevel="0" collapsed="false">
      <c r="A26" s="17" t="s">
        <v>541</v>
      </c>
      <c r="B26" s="45"/>
      <c r="C26" s="45" t="n">
        <f aca="false">_Engine_R50!B250</f>
        <v>449.719089947909</v>
      </c>
      <c r="D26" s="45"/>
    </row>
    <row r="27" customFormat="false" ht="15" hidden="false" customHeight="true" outlineLevel="0" collapsed="false">
      <c r="A27" s="17" t="s">
        <v>542</v>
      </c>
      <c r="B27" s="45"/>
      <c r="C27" s="45" t="n">
        <f aca="false">_Engine_R50!B251</f>
        <v>61.683932674371</v>
      </c>
      <c r="D27" s="45"/>
    </row>
    <row r="29" customFormat="false" ht="15" hidden="false" customHeight="true" outlineLevel="0" collapsed="false">
      <c r="A29" s="21" t="s">
        <v>543</v>
      </c>
      <c r="B29" s="3"/>
      <c r="C29" s="3"/>
      <c r="D29" s="3"/>
    </row>
    <row r="30" customFormat="false" ht="15" hidden="false" customHeight="true" outlineLevel="0" collapsed="false">
      <c r="A30" s="17" t="s">
        <v>219</v>
      </c>
      <c r="B30" s="114"/>
      <c r="C30" s="114" t="n">
        <f aca="false">_Engine_R50!J233/'1. Press Assumptions'!$B$5*1000000</f>
        <v>0</v>
      </c>
      <c r="D30" s="114"/>
    </row>
    <row r="31" customFormat="false" ht="15" hidden="false" customHeight="true" outlineLevel="0" collapsed="false">
      <c r="A31" s="17" t="s">
        <v>220</v>
      </c>
      <c r="B31" s="114"/>
      <c r="C31" s="114" t="n">
        <f aca="false">_Engine_R50!J234/'1. Press Assumptions'!$B$5*1000000</f>
        <v>0.14930123979778</v>
      </c>
      <c r="D31" s="114"/>
    </row>
    <row r="32" customFormat="false" ht="15" hidden="false" customHeight="true" outlineLevel="0" collapsed="false">
      <c r="A32" s="17" t="s">
        <v>221</v>
      </c>
      <c r="B32" s="114"/>
      <c r="C32" s="114" t="n">
        <f aca="false">_Engine_R50!J235/'1. Press Assumptions'!$B$5*1000000</f>
        <v>0.302542890003264</v>
      </c>
      <c r="D32" s="114"/>
    </row>
    <row r="33" customFormat="false" ht="15" hidden="false" customHeight="true" outlineLevel="0" collapsed="false">
      <c r="A33" s="17" t="s">
        <v>222</v>
      </c>
      <c r="B33" s="114"/>
      <c r="C33" s="114" t="n">
        <f aca="false">_Engine_R50!J236/'1. Press Assumptions'!$B$5*1000000</f>
        <v>0.414786550571794</v>
      </c>
      <c r="D33" s="114"/>
    </row>
    <row r="34" customFormat="false" ht="15" hidden="false" customHeight="true" outlineLevel="0" collapsed="false">
      <c r="A34" s="17" t="s">
        <v>223</v>
      </c>
      <c r="B34" s="114"/>
      <c r="C34" s="114" t="n">
        <f aca="false">_Engine_R50!J237/'1. Press Assumptions'!$B$5*1000000</f>
        <v>0.379455662218829</v>
      </c>
      <c r="D34" s="114"/>
    </row>
    <row r="35" customFormat="false" ht="15" hidden="false" customHeight="true" outlineLevel="0" collapsed="false">
      <c r="A35" s="17" t="s">
        <v>224</v>
      </c>
      <c r="B35" s="114"/>
      <c r="C35" s="114" t="n">
        <f aca="false">_Engine_R50!J238/'1. Press Assumptions'!$B$5*1000000</f>
        <v>0.293462945849109</v>
      </c>
      <c r="D35" s="114"/>
    </row>
    <row r="36" customFormat="false" ht="15" hidden="false" customHeight="true" outlineLevel="0" collapsed="false">
      <c r="A36" s="17" t="s">
        <v>225</v>
      </c>
      <c r="B36" s="114"/>
      <c r="C36" s="114" t="n">
        <f aca="false">_Engine_R50!J239/'1. Press Assumptions'!$B$5*1000000</f>
        <v>0.24288297159367</v>
      </c>
      <c r="D36" s="114"/>
    </row>
    <row r="37" customFormat="false" ht="15" hidden="false" customHeight="true" outlineLevel="0" collapsed="false">
      <c r="A37" s="17" t="s">
        <v>226</v>
      </c>
      <c r="B37" s="114"/>
      <c r="C37" s="114" t="n">
        <f aca="false">_Engine_R50!J240/'1. Press Assumptions'!$B$5*1000000</f>
        <v>0.217057383047178</v>
      </c>
      <c r="D37" s="114"/>
    </row>
    <row r="38" customFormat="false" ht="15" hidden="false" customHeight="true" outlineLevel="0" collapsed="false">
      <c r="A38" s="17" t="s">
        <v>227</v>
      </c>
      <c r="B38" s="114"/>
      <c r="C38" s="114" t="n">
        <f aca="false">_Engine_R50!J241/'1. Press Assumptions'!$B$5*1000000</f>
        <v>0.194127943361623</v>
      </c>
      <c r="D38" s="114"/>
    </row>
    <row r="39" customFormat="false" ht="15" hidden="false" customHeight="true" outlineLevel="0" collapsed="false">
      <c r="A39" s="17" t="s">
        <v>228</v>
      </c>
      <c r="B39" s="114"/>
      <c r="C39" s="114" t="n">
        <f aca="false">_Engine_R50!J242/'1. Press Assumptions'!$B$5*1000000</f>
        <v>0.173723301335059</v>
      </c>
      <c r="D39" s="114"/>
    </row>
    <row r="40" customFormat="false" ht="15" hidden="false" customHeight="true" outlineLevel="0" collapsed="false">
      <c r="A40" s="17" t="s">
        <v>229</v>
      </c>
      <c r="B40" s="114"/>
      <c r="C40" s="114" t="n">
        <f aca="false">_Engine_R50!J243/'1. Press Assumptions'!$B$5*1000000</f>
        <v>0.155523236223855</v>
      </c>
      <c r="D40" s="114"/>
    </row>
    <row r="41" customFormat="false" ht="15" hidden="false" customHeight="true" outlineLevel="0" collapsed="false">
      <c r="A41" s="17" t="s">
        <v>230</v>
      </c>
      <c r="B41" s="114"/>
      <c r="C41" s="114" t="n">
        <f aca="false">_Engine_R50!J244/'1. Press Assumptions'!$B$5*1000000</f>
        <v>0.139251358651612</v>
      </c>
      <c r="D41" s="114"/>
    </row>
    <row r="42" customFormat="false" ht="15" hidden="false" customHeight="true" outlineLevel="0" collapsed="false">
      <c r="A42" s="17" t="s">
        <v>231</v>
      </c>
      <c r="B42" s="114"/>
      <c r="C42" s="114" t="n">
        <f aca="false">_Engine_R50!J245/'1. Press Assumptions'!$B$5*1000000</f>
        <v>0.124668873671199</v>
      </c>
      <c r="D42" s="114"/>
    </row>
    <row r="43" customFormat="false" ht="15" hidden="false" customHeight="true" outlineLevel="0" collapsed="false">
      <c r="A43" s="17" t="s">
        <v>232</v>
      </c>
      <c r="B43" s="114"/>
      <c r="C43" s="114" t="n">
        <f aca="false">_Engine_R50!J246/'1. Press Assumptions'!$B$5*1000000</f>
        <v>0.111569249711136</v>
      </c>
      <c r="D43" s="114"/>
    </row>
    <row r="44" customFormat="false" ht="15" hidden="false" customHeight="true" outlineLevel="0" collapsed="false">
      <c r="A44" s="17" t="s">
        <v>233</v>
      </c>
      <c r="B44" s="114"/>
      <c r="C44" s="114" t="n">
        <f aca="false">_Engine_R50!J247/'1. Press Assumptions'!$B$5*1000000</f>
        <v>0.0997736602832898</v>
      </c>
      <c r="D44" s="114"/>
    </row>
    <row r="46" customFormat="false" ht="15" hidden="false" customHeight="true" outlineLevel="0" collapsed="false">
      <c r="A46" s="3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544</v>
      </c>
      <c r="B1" s="3"/>
      <c r="C1" s="3"/>
      <c r="D1" s="3"/>
      <c r="E1" s="3"/>
    </row>
    <row r="2" customFormat="false" ht="15" hidden="false" customHeight="true" outlineLevel="0" collapsed="false">
      <c r="A2" s="9" t="s">
        <v>545</v>
      </c>
    </row>
    <row r="4" customFormat="false" ht="15" hidden="false" customHeight="true" outlineLevel="0" collapsed="false">
      <c r="A4" s="7" t="s">
        <v>546</v>
      </c>
      <c r="B4" s="226" t="n">
        <v>1</v>
      </c>
    </row>
    <row r="5" customFormat="false" ht="15" hidden="false" customHeight="true" outlineLevel="0" collapsed="false">
      <c r="A5" s="10" t="s">
        <v>111</v>
      </c>
      <c r="B5" s="227" t="n">
        <f aca="false">IF(B4&lt;=5, INDEX('1. Press Assumptions'!$D$89:$D$93, B4), INDEX('1. Press Assumptions'!$D$96:$D$99, B4-5))</f>
        <v>25</v>
      </c>
    </row>
    <row r="6" customFormat="false" ht="15" hidden="false" customHeight="true" outlineLevel="0" collapsed="false">
      <c r="A6" s="1" t="s">
        <v>547</v>
      </c>
      <c r="B6" s="1" t="n">
        <f aca="false">IF(B4&lt;=5, INDEX('1. Press Assumptions'!$K$89:$K$93, B4), INDEX('1. Press Assumptions'!$K$96:$K$99, B4-5))</f>
        <v>4</v>
      </c>
    </row>
    <row r="7" customFormat="false" ht="15" hidden="false" customHeight="true" outlineLevel="0" collapsed="false">
      <c r="A7" s="4" t="s">
        <v>548</v>
      </c>
      <c r="B7" s="1" t="n">
        <f aca="false">INDEX(_Engine_R50!$G$6:$G$10, B4)</f>
        <v>0.95</v>
      </c>
    </row>
    <row r="8" customFormat="false" ht="15" hidden="false" customHeight="true" outlineLevel="0" collapsed="false">
      <c r="A8" s="1" t="s">
        <v>549</v>
      </c>
      <c r="B8" s="215" t="n">
        <f aca="false">IF(B4&lt;=5, INDEX('1. Press Assumptions'!$E$89:$E$93, B4), INDEX('1. Press Assumptions'!$E$96:$E$99, B4-5))</f>
        <v>2</v>
      </c>
    </row>
    <row r="9" customFormat="false" ht="15" hidden="false" customHeight="true" outlineLevel="0" collapsed="false">
      <c r="A9" s="1" t="s">
        <v>550</v>
      </c>
      <c r="B9" s="1" t="n">
        <f aca="false">B5*B8</f>
        <v>50</v>
      </c>
    </row>
    <row r="11" customFormat="false" ht="15" hidden="false" customHeight="true" outlineLevel="0" collapsed="false">
      <c r="A11" s="220" t="s">
        <v>551</v>
      </c>
    </row>
    <row r="12" customFormat="false" ht="15" hidden="false" customHeight="true" outlineLevel="0" collapsed="false">
      <c r="A12" s="41" t="s">
        <v>552</v>
      </c>
      <c r="B12" s="41" t="s">
        <v>517</v>
      </c>
      <c r="C12" s="41" t="s">
        <v>234</v>
      </c>
      <c r="D12" s="41" t="s">
        <v>553</v>
      </c>
      <c r="E12" s="41" t="s">
        <v>554</v>
      </c>
      <c r="F12" s="41" t="s">
        <v>245</v>
      </c>
    </row>
    <row r="13" customFormat="false" ht="15" hidden="false" customHeight="true" outlineLevel="0" collapsed="false">
      <c r="A13" s="1" t="n">
        <v>1</v>
      </c>
      <c r="B13" s="1" t="n">
        <f aca="false">IF($B$6&gt;12*A13, 0, $B$5 * POWER($B$7, MAX(0, (A13*12-$B$6)/12)))</f>
        <v>24.1595632445387</v>
      </c>
      <c r="C13" s="1" t="n">
        <f aca="false">IF($B$6&gt;A13*12, 0, $B$5 * POWER($B$7, MAX(0,(A13*12-$B$6)/12)) * (MIN(12, MAX(0, A13*12 - $B$6 + 1))/12))</f>
        <v>18.119672433404</v>
      </c>
      <c r="D13" s="1" t="n">
        <f aca="false">C13*0.21</f>
        <v>3.80513121101484</v>
      </c>
      <c r="E13" s="1" t="n">
        <f aca="false">C13*0.79</f>
        <v>14.3145412223892</v>
      </c>
      <c r="F13" s="228" t="n">
        <f aca="false">IF(C13=0, 0, E13/C13)</f>
        <v>0.79</v>
      </c>
    </row>
    <row r="14" customFormat="false" ht="15" hidden="false" customHeight="true" outlineLevel="0" collapsed="false">
      <c r="A14" s="1" t="n">
        <v>2</v>
      </c>
      <c r="B14" s="1" t="n">
        <f aca="false">IF($B$6&gt;12*A14, 0, $B$5 * POWER($B$7, MAX(0, (A14*12-$B$6)/12)))</f>
        <v>22.9515850823117</v>
      </c>
      <c r="C14" s="1" t="n">
        <f aca="false">IF($B$6&gt;A14*12, 0, $B$5 * POWER($B$7, MAX(0,(A14*12-$B$6)/12)) * (MIN(12, MAX(0, A14*12 - $B$6 + 1))/12))</f>
        <v>22.9515850823117</v>
      </c>
      <c r="D14" s="1" t="n">
        <f aca="false">C14*0.21</f>
        <v>4.81983286728546</v>
      </c>
      <c r="E14" s="1" t="n">
        <f aca="false">C14*0.79</f>
        <v>18.1317522150263</v>
      </c>
      <c r="F14" s="228" t="n">
        <f aca="false">IF(C14=0, 0, E14/C14)</f>
        <v>0.79</v>
      </c>
    </row>
    <row r="15" customFormat="false" ht="15" hidden="false" customHeight="true" outlineLevel="0" collapsed="false">
      <c r="A15" s="1" t="n">
        <v>3</v>
      </c>
      <c r="B15" s="1" t="n">
        <f aca="false">IF($B$6&gt;12*A15, 0, $B$5 * POWER($B$7, MAX(0, (A15*12-$B$6)/12)))</f>
        <v>21.8040058281961</v>
      </c>
      <c r="C15" s="1" t="n">
        <f aca="false">IF($B$6&gt;A15*12, 0, $B$5 * POWER($B$7, MAX(0,(A15*12-$B$6)/12)) * (MIN(12, MAX(0, A15*12 - $B$6 + 1))/12))</f>
        <v>21.8040058281961</v>
      </c>
      <c r="D15" s="1" t="n">
        <f aca="false">C15*0.21</f>
        <v>4.57884122392119</v>
      </c>
      <c r="E15" s="1" t="n">
        <f aca="false">C15*0.79</f>
        <v>17.2251646042749</v>
      </c>
      <c r="F15" s="228" t="n">
        <f aca="false">IF(C15=0, 0, E15/C15)</f>
        <v>0.79</v>
      </c>
    </row>
    <row r="16" customFormat="false" ht="15" hidden="false" customHeight="true" outlineLevel="0" collapsed="false">
      <c r="A16" s="1" t="n">
        <v>4</v>
      </c>
      <c r="B16" s="1" t="n">
        <f aca="false">IF($B$6&gt;12*A16, 0, $B$5 * POWER($B$7, MAX(0, (A16*12-$B$6)/12)))</f>
        <v>20.7138055367863</v>
      </c>
      <c r="C16" s="1" t="n">
        <f aca="false">IF($B$6&gt;A16*12, 0, $B$5 * POWER($B$7, MAX(0,(A16*12-$B$6)/12)) * (MIN(12, MAX(0, A16*12 - $B$6 + 1))/12))</f>
        <v>20.7138055367863</v>
      </c>
      <c r="D16" s="1" t="n">
        <f aca="false">C16*0.21</f>
        <v>4.34989916272513</v>
      </c>
      <c r="E16" s="1" t="n">
        <f aca="false">C16*0.79</f>
        <v>16.3639063740612</v>
      </c>
      <c r="F16" s="228" t="n">
        <f aca="false">IF(C16=0, 0, E16/C16)</f>
        <v>0.79</v>
      </c>
    </row>
    <row r="17" customFormat="false" ht="15" hidden="false" customHeight="true" outlineLevel="0" collapsed="false">
      <c r="A17" s="1" t="n">
        <v>5</v>
      </c>
      <c r="B17" s="1" t="n">
        <f aca="false">IF($B$6&gt;12*A17, 0, $B$5 * POWER($B$7, MAX(0, (A17*12-$B$6)/12)))</f>
        <v>19.678115259947</v>
      </c>
      <c r="C17" s="1" t="n">
        <f aca="false">IF($B$6&gt;A17*12, 0, $B$5 * POWER($B$7, MAX(0,(A17*12-$B$6)/12)) * (MIN(12, MAX(0, A17*12 - $B$6 + 1))/12))</f>
        <v>19.678115259947</v>
      </c>
      <c r="D17" s="1" t="n">
        <f aca="false">C17*0.21</f>
        <v>4.13240420458887</v>
      </c>
      <c r="E17" s="1" t="n">
        <f aca="false">C17*0.79</f>
        <v>15.5457110553581</v>
      </c>
      <c r="F17" s="228" t="n">
        <f aca="false">IF(C17=0, 0, E17/C17)</f>
        <v>0.79</v>
      </c>
    </row>
    <row r="18" customFormat="false" ht="15" hidden="false" customHeight="true" outlineLevel="0" collapsed="false">
      <c r="A18" s="1" t="n">
        <v>6</v>
      </c>
      <c r="B18" s="1" t="n">
        <f aca="false">IF($B$6&gt;12*A18, 0, $B$5 * POWER($B$7, MAX(0, (A18*12-$B$6)/12)))</f>
        <v>18.6942094969497</v>
      </c>
      <c r="C18" s="1" t="n">
        <f aca="false">IF($B$6&gt;A18*12, 0, $B$5 * POWER($B$7, MAX(0,(A18*12-$B$6)/12)) * (MIN(12, MAX(0, A18*12 - $B$6 + 1))/12))</f>
        <v>18.6942094969497</v>
      </c>
      <c r="D18" s="1" t="n">
        <f aca="false">C18*0.21</f>
        <v>3.92578399435943</v>
      </c>
      <c r="E18" s="1" t="n">
        <f aca="false">C18*0.79</f>
        <v>14.7684255025902</v>
      </c>
      <c r="F18" s="228" t="n">
        <f aca="false">IF(C18=0, 0, E18/C18)</f>
        <v>0.79</v>
      </c>
    </row>
    <row r="19" customFormat="false" ht="15" hidden="false" customHeight="true" outlineLevel="0" collapsed="false">
      <c r="A19" s="1" t="n">
        <v>7</v>
      </c>
      <c r="B19" s="1" t="n">
        <f aca="false">IF($B$6&gt;12*A19, 0, $B$5 * POWER($B$7, MAX(0, (A19*12-$B$6)/12)))</f>
        <v>17.7594990221022</v>
      </c>
      <c r="C19" s="1" t="n">
        <f aca="false">IF($B$6&gt;A19*12, 0, $B$5 * POWER($B$7, MAX(0,(A19*12-$B$6)/12)) * (MIN(12, MAX(0, A19*12 - $B$6 + 1))/12))</f>
        <v>17.7594990221022</v>
      </c>
      <c r="D19" s="1" t="n">
        <f aca="false">C19*0.21</f>
        <v>3.72949479464146</v>
      </c>
      <c r="E19" s="1" t="n">
        <f aca="false">C19*0.79</f>
        <v>14.0300042274607</v>
      </c>
      <c r="F19" s="228" t="n">
        <f aca="false">IF(C19=0, 0, E19/C19)</f>
        <v>0.79</v>
      </c>
    </row>
    <row r="20" customFormat="false" ht="15" hidden="false" customHeight="true" outlineLevel="0" collapsed="false">
      <c r="A20" s="1" t="n">
        <v>8</v>
      </c>
      <c r="B20" s="1" t="n">
        <f aca="false">IF($B$6&gt;12*A20, 0, $B$5 * POWER($B$7, MAX(0, (A20*12-$B$6)/12)))</f>
        <v>16.8715240709971</v>
      </c>
      <c r="C20" s="1" t="n">
        <f aca="false">IF($B$6&gt;A20*12, 0, $B$5 * POWER($B$7, MAX(0,(A20*12-$B$6)/12)) * (MIN(12, MAX(0, A20*12 - $B$6 + 1))/12))</f>
        <v>16.8715240709971</v>
      </c>
      <c r="D20" s="1" t="n">
        <f aca="false">C20*0.21</f>
        <v>3.54302005490938</v>
      </c>
      <c r="E20" s="1" t="n">
        <f aca="false">C20*0.79</f>
        <v>13.3285040160877</v>
      </c>
      <c r="F20" s="228" t="n">
        <f aca="false">IF(C20=0, 0, E20/C20)</f>
        <v>0.79</v>
      </c>
    </row>
    <row r="21" customFormat="false" ht="15" hidden="false" customHeight="true" outlineLevel="0" collapsed="false">
      <c r="A21" s="1" t="n">
        <v>9</v>
      </c>
      <c r="B21" s="1" t="n">
        <f aca="false">IF($B$6&gt;12*A21, 0, $B$5 * POWER($B$7, MAX(0, (A21*12-$B$6)/12)))</f>
        <v>16.0279478674472</v>
      </c>
      <c r="C21" s="1" t="n">
        <f aca="false">IF($B$6&gt;A21*12, 0, $B$5 * POWER($B$7, MAX(0,(A21*12-$B$6)/12)) * (MIN(12, MAX(0, A21*12 - $B$6 + 1))/12))</f>
        <v>16.0279478674472</v>
      </c>
      <c r="D21" s="1" t="n">
        <f aca="false">C21*0.21</f>
        <v>3.36586905216391</v>
      </c>
      <c r="E21" s="1" t="n">
        <f aca="false">C21*0.79</f>
        <v>12.6620788152833</v>
      </c>
      <c r="F21" s="228" t="n">
        <f aca="false">IF(C21=0, 0, E21/C21)</f>
        <v>0.79</v>
      </c>
    </row>
    <row r="22" customFormat="false" ht="15" hidden="false" customHeight="true" outlineLevel="0" collapsed="false">
      <c r="A22" s="1" t="n">
        <v>10</v>
      </c>
      <c r="B22" s="1" t="n">
        <f aca="false">IF($B$6&gt;12*A22, 0, $B$5 * POWER($B$7, MAX(0, (A22*12-$B$6)/12)))</f>
        <v>15.2265504740748</v>
      </c>
      <c r="C22" s="1" t="n">
        <f aca="false">IF($B$6&gt;A22*12, 0, $B$5 * POWER($B$7, MAX(0,(A22*12-$B$6)/12)) * (MIN(12, MAX(0, A22*12 - $B$6 + 1))/12))</f>
        <v>15.2265504740748</v>
      </c>
      <c r="D22" s="1" t="n">
        <f aca="false">C22*0.21</f>
        <v>3.19757559955572</v>
      </c>
      <c r="E22" s="1" t="n">
        <f aca="false">C22*0.79</f>
        <v>12.0289748745191</v>
      </c>
      <c r="F22" s="228" t="n">
        <f aca="false">IF(C22=0, 0, E22/C22)</f>
        <v>0.79</v>
      </c>
    </row>
    <row r="23" customFormat="false" ht="15" hidden="false" customHeight="true" outlineLevel="0" collapsed="false">
      <c r="A23" s="1" t="n">
        <v>11</v>
      </c>
      <c r="B23" s="1" t="n">
        <f aca="false">IF($B$6&gt;12*A23, 0, $B$5 * POWER($B$7, MAX(0, (A23*12-$B$6)/12)))</f>
        <v>14.4652229503711</v>
      </c>
      <c r="C23" s="1" t="n">
        <f aca="false">IF($B$6&gt;A23*12, 0, $B$5 * POWER($B$7, MAX(0,(A23*12-$B$6)/12)) * (MIN(12, MAX(0, A23*12 - $B$6 + 1))/12))</f>
        <v>14.4652229503711</v>
      </c>
      <c r="D23" s="1" t="n">
        <f aca="false">C23*0.21</f>
        <v>3.03769681957793</v>
      </c>
      <c r="E23" s="1" t="n">
        <f aca="false">C23*0.79</f>
        <v>11.4275261307932</v>
      </c>
      <c r="F23" s="228" t="n">
        <f aca="false">IF(C23=0, 0, E23/C23)</f>
        <v>0.79</v>
      </c>
    </row>
    <row r="24" customFormat="false" ht="15" hidden="false" customHeight="true" outlineLevel="0" collapsed="false">
      <c r="A24" s="1" t="n">
        <v>12</v>
      </c>
      <c r="B24" s="1" t="n">
        <f aca="false">IF($B$6&gt;12*A24, 0, $B$5 * POWER($B$7, MAX(0, (A24*12-$B$6)/12)))</f>
        <v>13.7419618028525</v>
      </c>
      <c r="C24" s="1" t="n">
        <f aca="false">IF($B$6&gt;A24*12, 0, $B$5 * POWER($B$7, MAX(0,(A24*12-$B$6)/12)) * (MIN(12, MAX(0, A24*12 - $B$6 + 1))/12))</f>
        <v>13.7419618028525</v>
      </c>
      <c r="D24" s="1" t="n">
        <f aca="false">C24*0.21</f>
        <v>2.88581197859904</v>
      </c>
      <c r="E24" s="1" t="n">
        <f aca="false">C24*0.79</f>
        <v>10.8561498242535</v>
      </c>
      <c r="F24" s="228" t="n">
        <f aca="false">IF(C24=0, 0, E24/C24)</f>
        <v>0.79</v>
      </c>
    </row>
    <row r="25" customFormat="false" ht="15" hidden="false" customHeight="true" outlineLevel="0" collapsed="false">
      <c r="A25" s="1" t="n">
        <v>13</v>
      </c>
      <c r="B25" s="1" t="n">
        <f aca="false">IF($B$6&gt;12*A25, 0, $B$5 * POWER($B$7, MAX(0, (A25*12-$B$6)/12)))</f>
        <v>13.0548637127099</v>
      </c>
      <c r="C25" s="1" t="n">
        <f aca="false">IF($B$6&gt;A25*12, 0, $B$5 * POWER($B$7, MAX(0,(A25*12-$B$6)/12)) * (MIN(12, MAX(0, A25*12 - $B$6 + 1))/12))</f>
        <v>13.0548637127099</v>
      </c>
      <c r="D25" s="1" t="n">
        <f aca="false">C25*0.21</f>
        <v>2.74152137966908</v>
      </c>
      <c r="E25" s="1" t="n">
        <f aca="false">C25*0.79</f>
        <v>10.3133423330408</v>
      </c>
      <c r="F25" s="228" t="n">
        <f aca="false">IF(C25=0, 0, E25/C25)</f>
        <v>0.79</v>
      </c>
    </row>
    <row r="26" customFormat="false" ht="15" hidden="false" customHeight="true" outlineLevel="0" collapsed="false">
      <c r="A26" s="1" t="n">
        <v>14</v>
      </c>
      <c r="B26" s="1" t="n">
        <f aca="false">IF($B$6&gt;12*A26, 0, $B$5 * POWER($B$7, MAX(0, (A26*12-$B$6)/12)))</f>
        <v>12.4021205270744</v>
      </c>
      <c r="C26" s="1" t="n">
        <f aca="false">IF($B$6&gt;A26*12, 0, $B$5 * POWER($B$7, MAX(0,(A26*12-$B$6)/12)) * (MIN(12, MAX(0, A26*12 - $B$6 + 1))/12))</f>
        <v>12.4021205270744</v>
      </c>
      <c r="D26" s="1" t="n">
        <f aca="false">C26*0.21</f>
        <v>2.60444531068563</v>
      </c>
      <c r="E26" s="1" t="n">
        <f aca="false">C26*0.79</f>
        <v>9.7976752163888</v>
      </c>
      <c r="F26" s="228" t="n">
        <f aca="false">IF(C26=0, 0, E26/C26)</f>
        <v>0.79</v>
      </c>
    </row>
    <row r="27" customFormat="false" ht="15" hidden="false" customHeight="true" outlineLevel="0" collapsed="false">
      <c r="A27" s="1" t="n">
        <v>15</v>
      </c>
      <c r="B27" s="1" t="n">
        <f aca="false">IF($B$6&gt;12*A27, 0, $B$5 * POWER($B$7, MAX(0, (A27*12-$B$6)/12)))</f>
        <v>11.7820145007207</v>
      </c>
      <c r="C27" s="1" t="n">
        <f aca="false">IF($B$6&gt;A27*12, 0, $B$5 * POWER($B$7, MAX(0,(A27*12-$B$6)/12)) * (MIN(12, MAX(0, A27*12 - $B$6 + 1))/12))</f>
        <v>11.7820145007207</v>
      </c>
      <c r="D27" s="1" t="n">
        <f aca="false">C27*0.21</f>
        <v>2.47422304515135</v>
      </c>
      <c r="E27" s="1" t="n">
        <f aca="false">C27*0.79</f>
        <v>9.30779145556936</v>
      </c>
      <c r="F27" s="228" t="n">
        <f aca="false">IF(C27=0, 0, E27/C27)</f>
        <v>0.79</v>
      </c>
    </row>
    <row r="28" customFormat="false" ht="15" hidden="false" customHeight="true" outlineLevel="0" collapsed="false">
      <c r="A28" s="220" t="s">
        <v>212</v>
      </c>
      <c r="C28" s="1" t="n">
        <f aca="false">SUM(C13:C27)</f>
        <v>253.293098565945</v>
      </c>
      <c r="D28" s="1" t="n">
        <f aca="false">SUM(D13:D27)</f>
        <v>53.1915506988484</v>
      </c>
      <c r="E28" s="1" t="n">
        <f aca="false">SUM(E13:E27)</f>
        <v>200.101547867096</v>
      </c>
    </row>
    <row r="30" customFormat="false" ht="15" hidden="false" customHeight="true" outlineLevel="0" collapsed="false">
      <c r="A30" s="9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5" min="2" style="1" width="12"/>
  </cols>
  <sheetData>
    <row r="1" customFormat="false" ht="15.75" hidden="false" customHeight="true" outlineLevel="0" collapsed="false">
      <c r="A1" s="225" t="s">
        <v>556</v>
      </c>
      <c r="B1" s="3"/>
      <c r="C1" s="3"/>
      <c r="D1" s="3"/>
      <c r="E1" s="3"/>
      <c r="F1" s="3"/>
      <c r="G1" s="3"/>
      <c r="H1" s="3"/>
      <c r="I1" s="15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" hidden="false" customHeight="true" outlineLevel="0" collapsed="false">
      <c r="A2" s="156" t="s">
        <v>557</v>
      </c>
    </row>
    <row r="4" customFormat="false" ht="15" hidden="false" customHeight="true" outlineLevel="0" collapsed="false">
      <c r="A4" s="44" t="s">
        <v>217</v>
      </c>
      <c r="B4" s="43" t="s">
        <v>253</v>
      </c>
      <c r="C4" s="43" t="s">
        <v>254</v>
      </c>
      <c r="D4" s="43" t="s">
        <v>255</v>
      </c>
      <c r="E4" s="43" t="s">
        <v>119</v>
      </c>
      <c r="F4" s="43" t="s">
        <v>256</v>
      </c>
      <c r="G4" s="43" t="s">
        <v>257</v>
      </c>
      <c r="H4" s="43" t="s">
        <v>122</v>
      </c>
      <c r="I4" s="43" t="s">
        <v>258</v>
      </c>
      <c r="J4" s="43" t="s">
        <v>259</v>
      </c>
      <c r="K4" s="43" t="s">
        <v>125</v>
      </c>
      <c r="L4" s="43" t="s">
        <v>260</v>
      </c>
      <c r="M4" s="43" t="s">
        <v>127</v>
      </c>
      <c r="N4" s="43" t="s">
        <v>261</v>
      </c>
      <c r="O4" s="43" t="s">
        <v>262</v>
      </c>
      <c r="P4" s="43" t="s">
        <v>263</v>
      </c>
      <c r="Q4" s="43" t="s">
        <v>130</v>
      </c>
      <c r="R4" s="43" t="s">
        <v>264</v>
      </c>
      <c r="S4" s="43" t="s">
        <v>265</v>
      </c>
      <c r="T4" s="43" t="s">
        <v>266</v>
      </c>
      <c r="U4" s="43" t="s">
        <v>267</v>
      </c>
      <c r="V4" s="43" t="s">
        <v>268</v>
      </c>
      <c r="W4" s="43" t="s">
        <v>269</v>
      </c>
      <c r="X4" s="43" t="s">
        <v>270</v>
      </c>
      <c r="Y4" s="43" t="s">
        <v>134</v>
      </c>
    </row>
    <row r="6" customFormat="false" ht="15" hidden="false" customHeight="true" outlineLevel="0" collapsed="false">
      <c r="A6" s="18" t="s">
        <v>558</v>
      </c>
      <c r="B6" s="229" t="n">
        <f aca="false">SUMPRODUCT((1='1. Press Assumptions'!$K$89:$K$93)*('1. Press Assumptions'!$D$89:$D$93*'1. Press Assumptions'!$E$89:$E$93))</f>
        <v>0</v>
      </c>
      <c r="C6" s="229" t="n">
        <f aca="false">SUMPRODUCT((2='1. Press Assumptions'!$K$89:$K$93)*('1. Press Assumptions'!$D$89:$D$93*'1. Press Assumptions'!$E$89:$E$93))</f>
        <v>0</v>
      </c>
      <c r="D6" s="229" t="n">
        <f aca="false">SUMPRODUCT((3='1. Press Assumptions'!$K$89:$K$93)*('1. Press Assumptions'!$D$89:$D$93*'1. Press Assumptions'!$E$89:$E$93))</f>
        <v>0</v>
      </c>
      <c r="E6" s="229" t="n">
        <f aca="false">SUMPRODUCT((4='1. Press Assumptions'!$K$89:$K$93)*('1. Press Assumptions'!$D$89:$D$93*'1. Press Assumptions'!$E$89:$E$93))</f>
        <v>50</v>
      </c>
      <c r="F6" s="229" t="n">
        <f aca="false">SUMPRODUCT((5='1. Press Assumptions'!$K$89:$K$93)*('1. Press Assumptions'!$D$89:$D$93*'1. Press Assumptions'!$E$89:$E$93))</f>
        <v>0</v>
      </c>
      <c r="G6" s="229" t="n">
        <f aca="false">SUMPRODUCT((6='1. Press Assumptions'!$K$89:$K$93)*('1. Press Assumptions'!$D$89:$D$93*'1. Press Assumptions'!$E$89:$E$93))</f>
        <v>0</v>
      </c>
      <c r="H6" s="229" t="n">
        <f aca="false">SUMPRODUCT((7='1. Press Assumptions'!$K$89:$K$93)*('1. Press Assumptions'!$D$89:$D$93*'1. Press Assumptions'!$E$89:$E$93))</f>
        <v>0</v>
      </c>
      <c r="I6" s="229" t="n">
        <f aca="false">SUMPRODUCT((8='1. Press Assumptions'!$K$89:$K$93)*('1. Press Assumptions'!$D$89:$D$93*'1. Press Assumptions'!$E$89:$E$93))</f>
        <v>37.5</v>
      </c>
      <c r="J6" s="229" t="n">
        <f aca="false">SUMPRODUCT((9='1. Press Assumptions'!$K$89:$K$93)*('1. Press Assumptions'!$D$89:$D$93*'1. Press Assumptions'!$E$89:$E$93))</f>
        <v>0</v>
      </c>
      <c r="K6" s="229" t="n">
        <f aca="false">SUMPRODUCT((10='1. Press Assumptions'!$K$89:$K$93)*('1. Press Assumptions'!$D$89:$D$93*'1. Press Assumptions'!$E$89:$E$93))</f>
        <v>0</v>
      </c>
      <c r="L6" s="229" t="n">
        <f aca="false">SUMPRODUCT((11='1. Press Assumptions'!$K$89:$K$93)*('1. Press Assumptions'!$D$89:$D$93*'1. Press Assumptions'!$E$89:$E$93))</f>
        <v>0</v>
      </c>
      <c r="M6" s="229" t="n">
        <f aca="false">SUMPRODUCT((12='1. Press Assumptions'!$K$89:$K$93)*('1. Press Assumptions'!$D$89:$D$93*'1. Press Assumptions'!$E$89:$E$93))</f>
        <v>31.25</v>
      </c>
      <c r="N6" s="229" t="n">
        <f aca="false">SUMPRODUCT((13='1. Press Assumptions'!$K$89:$K$93)*('1. Press Assumptions'!$D$89:$D$93*'1. Press Assumptions'!$E$89:$E$93))</f>
        <v>0</v>
      </c>
      <c r="O6" s="229" t="n">
        <f aca="false">SUMPRODUCT((14='1. Press Assumptions'!$K$89:$K$93)*('1. Press Assumptions'!$D$89:$D$93*'1. Press Assumptions'!$E$89:$E$93))</f>
        <v>0</v>
      </c>
      <c r="P6" s="229" t="n">
        <f aca="false">SUMPRODUCT((15='1. Press Assumptions'!$K$89:$K$93)*('1. Press Assumptions'!$D$89:$D$93*'1. Press Assumptions'!$E$89:$E$93))</f>
        <v>0</v>
      </c>
      <c r="Q6" s="229" t="n">
        <f aca="false">SUMPRODUCT((16='1. Press Assumptions'!$K$89:$K$93)*('1. Press Assumptions'!$D$89:$D$93*'1. Press Assumptions'!$E$89:$E$93))</f>
        <v>31.25</v>
      </c>
      <c r="R6" s="229" t="n">
        <f aca="false">SUMPRODUCT((17='1. Press Assumptions'!$K$89:$K$93)*('1. Press Assumptions'!$D$89:$D$93*'1. Press Assumptions'!$E$89:$E$93))</f>
        <v>0</v>
      </c>
      <c r="S6" s="229" t="n">
        <f aca="false">SUMPRODUCT((18='1. Press Assumptions'!$K$89:$K$93)*('1. Press Assumptions'!$D$89:$D$93*'1. Press Assumptions'!$E$89:$E$93))</f>
        <v>0</v>
      </c>
      <c r="T6" s="229" t="n">
        <f aca="false">SUMPRODUCT((19='1. Press Assumptions'!$K$89:$K$93)*('1. Press Assumptions'!$D$89:$D$93*'1. Press Assumptions'!$E$89:$E$93))</f>
        <v>0</v>
      </c>
      <c r="U6" s="229" t="n">
        <f aca="false">SUMPRODUCT((20='1. Press Assumptions'!$K$89:$K$93)*('1. Press Assumptions'!$D$89:$D$93*'1. Press Assumptions'!$E$89:$E$93))</f>
        <v>0</v>
      </c>
      <c r="V6" s="229" t="n">
        <f aca="false">SUMPRODUCT((21='1. Press Assumptions'!$K$89:$K$93)*('1. Press Assumptions'!$D$89:$D$93*'1. Press Assumptions'!$E$89:$E$93))</f>
        <v>0</v>
      </c>
      <c r="W6" s="229" t="n">
        <f aca="false">SUMPRODUCT((22='1. Press Assumptions'!$K$89:$K$93)*('1. Press Assumptions'!$D$89:$D$93*'1. Press Assumptions'!$E$89:$E$93))</f>
        <v>0</v>
      </c>
      <c r="X6" s="229" t="n">
        <f aca="false">SUMPRODUCT((23='1. Press Assumptions'!$K$89:$K$93)*('1. Press Assumptions'!$D$89:$D$93*'1. Press Assumptions'!$E$89:$E$93))</f>
        <v>0</v>
      </c>
      <c r="Y6" s="229" t="n">
        <f aca="false">SUMPRODUCT((24='1. Press Assumptions'!$K$89:$K$93)*('1. Press Assumptions'!$D$89:$D$93*'1. Press Assumptions'!$E$89:$E$93))</f>
        <v>0</v>
      </c>
    </row>
    <row r="7" customFormat="false" ht="15" hidden="false" customHeight="true" outlineLevel="0" collapsed="false">
      <c r="A7" s="17" t="s">
        <v>234</v>
      </c>
      <c r="B7" s="45" t="n">
        <f aca="false">_Engine_R50!L31</f>
        <v>0</v>
      </c>
      <c r="C7" s="45" t="n">
        <f aca="false">_Engine_R50!L32</f>
        <v>0</v>
      </c>
      <c r="D7" s="45" t="n">
        <f aca="false">_Engine_R50!L33</f>
        <v>0</v>
      </c>
      <c r="E7" s="45" t="n">
        <f aca="false">_Engine_R50!L34</f>
        <v>0</v>
      </c>
      <c r="F7" s="45" t="n">
        <f aca="false">_Engine_R50!L35</f>
        <v>0</v>
      </c>
      <c r="G7" s="45" t="n">
        <f aca="false">_Engine_R50!L36</f>
        <v>0</v>
      </c>
      <c r="H7" s="45" t="n">
        <f aca="false">_Engine_R50!L37</f>
        <v>0</v>
      </c>
      <c r="I7" s="45" t="n">
        <f aca="false">_Engine_R50!L38</f>
        <v>0</v>
      </c>
      <c r="J7" s="45" t="n">
        <f aca="false">_Engine_R50!L39</f>
        <v>0</v>
      </c>
      <c r="K7" s="45" t="n">
        <f aca="false">_Engine_R50!L40</f>
        <v>0</v>
      </c>
      <c r="L7" s="45" t="n">
        <f aca="false">_Engine_R50!L41</f>
        <v>0</v>
      </c>
      <c r="M7" s="45" t="n">
        <f aca="false">_Engine_R50!L42</f>
        <v>0</v>
      </c>
      <c r="N7" s="45" t="n">
        <f aca="false">_Engine_R50!L43</f>
        <v>0</v>
      </c>
      <c r="O7" s="45" t="n">
        <f aca="false">_Engine_R50!L44</f>
        <v>0</v>
      </c>
      <c r="P7" s="45" t="n">
        <f aca="false">_Engine_R50!L45</f>
        <v>0</v>
      </c>
      <c r="Q7" s="45" t="n">
        <f aca="false">_Engine_R50!L46</f>
        <v>0</v>
      </c>
      <c r="R7" s="45" t="n">
        <f aca="false">_Engine_R50!L47</f>
        <v>0</v>
      </c>
      <c r="S7" s="45" t="n">
        <f aca="false">_Engine_R50!L48</f>
        <v>0</v>
      </c>
      <c r="T7" s="45" t="n">
        <f aca="false">_Engine_R50!L49</f>
        <v>0</v>
      </c>
      <c r="U7" s="45" t="n">
        <f aca="false">_Engine_R50!L50</f>
        <v>0</v>
      </c>
      <c r="V7" s="45" t="n">
        <f aca="false">_Engine_R50!L51</f>
        <v>0</v>
      </c>
      <c r="W7" s="45" t="n">
        <f aca="false">_Engine_R50!L52</f>
        <v>0</v>
      </c>
      <c r="X7" s="45" t="n">
        <f aca="false">_Engine_R50!L53</f>
        <v>0</v>
      </c>
      <c r="Y7" s="45" t="n">
        <f aca="false">_Engine_R50!L54</f>
        <v>0</v>
      </c>
    </row>
    <row r="8" customFormat="false" ht="15" hidden="false" customHeight="true" outlineLevel="0" collapsed="false">
      <c r="A8" s="17" t="s">
        <v>237</v>
      </c>
      <c r="B8" s="45" t="n">
        <f aca="false">_Engine_R50!M31+_Engine_R50!N31+_Engine_R50!O31+_Engine_R50!D31+_Engine_R50!E31+_Engine_R50!Q31</f>
        <v>0.288105825</v>
      </c>
      <c r="C8" s="45" t="n">
        <f aca="false">_Engine_R50!M32+_Engine_R50!N32+_Engine_R50!O32+_Engine_R50!D32+_Engine_R50!E32+_Engine_R50!Q32</f>
        <v>0.288105825</v>
      </c>
      <c r="D8" s="45" t="n">
        <f aca="false">_Engine_R50!M33+_Engine_R50!N33+_Engine_R50!O33+_Engine_R50!D33+_Engine_R50!E33+_Engine_R50!Q33</f>
        <v>0.288105825</v>
      </c>
      <c r="E8" s="45" t="n">
        <f aca="false">_Engine_R50!M34+_Engine_R50!N34+_Engine_R50!O34+_Engine_R50!D34+_Engine_R50!E34+_Engine_R50!Q34</f>
        <v>26.663105825</v>
      </c>
      <c r="F8" s="45" t="n">
        <f aca="false">_Engine_R50!M35+_Engine_R50!N35+_Engine_R50!O35+_Engine_R50!D35+_Engine_R50!E35+_Engine_R50!Q35</f>
        <v>26.3689175808157</v>
      </c>
      <c r="G8" s="45" t="n">
        <f aca="false">_Engine_R50!M36+_Engine_R50!N36+_Engine_R50!O36+_Engine_R50!D36+_Engine_R50!E36+_Engine_R50!Q36</f>
        <v>26.0751879504349</v>
      </c>
      <c r="H8" s="45" t="n">
        <f aca="false">_Engine_R50!M37+_Engine_R50!N37+_Engine_R50!O37+_Engine_R50!D37+_Engine_R50!E37+_Engine_R50!Q37</f>
        <v>25.7819149777236</v>
      </c>
      <c r="I8" s="45" t="n">
        <f aca="false">_Engine_R50!M38+_Engine_R50!N38+_Engine_R50!O38+_Engine_R50!D38+_Engine_R50!E38+_Engine_R50!Q38</f>
        <v>51.8640967148914</v>
      </c>
      <c r="J8" s="45" t="n">
        <f aca="false">_Engine_R50!M39+_Engine_R50!N39+_Engine_R50!O39+_Engine_R50!D39+_Engine_R50!E39+_Engine_R50!Q39</f>
        <v>51.1647031129725</v>
      </c>
      <c r="K8" s="45" t="n">
        <f aca="false">_Engine_R50!M40+_Engine_R50!N40+_Engine_R50!O40+_Engine_R50!D40+_Engine_R50!E40+_Engine_R50!Q40</f>
        <v>50.6413903679462</v>
      </c>
      <c r="L8" s="45" t="n">
        <f aca="false">_Engine_R50!M41+_Engine_R50!N41+_Engine_R50!O41+_Engine_R50!D41+_Engine_R50!E41+_Engine_R50!Q41</f>
        <v>50.1204360140483</v>
      </c>
      <c r="M8" s="45" t="n">
        <f aca="false">_Engine_R50!M42+_Engine_R50!N42+_Engine_R50!O42+_Engine_R50!D42+_Engine_R50!E42+_Engine_R50!Q42</f>
        <v>75.9768214446212</v>
      </c>
      <c r="N8" s="45" t="n">
        <f aca="false">_Engine_R50!M43+_Engine_R50!N43+_Engine_R50!O43+_Engine_R50!D43+_Engine_R50!E43+_Engine_R50!Q43</f>
        <v>75.2796982094975</v>
      </c>
      <c r="O8" s="45" t="n">
        <f aca="false">_Engine_R50!M44+_Engine_R50!N44+_Engine_R50!O44+_Engine_R50!D44+_Engine_R50!E44+_Engine_R50!Q44</f>
        <v>74.418205447726</v>
      </c>
      <c r="P8" s="45" t="n">
        <f aca="false">_Engine_R50!M45+_Engine_R50!N45+_Engine_R50!O45+_Engine_R50!D45+_Engine_R50!E45+_Engine_R50!Q45</f>
        <v>73.5634977785923</v>
      </c>
      <c r="Q8" s="45" t="n">
        <f aca="false">_Engine_R50!M46+_Engine_R50!N46+_Engine_R50!O46+_Engine_R50!D46+_Engine_R50!E46+_Engine_R50!Q46</f>
        <v>99.0904966673746</v>
      </c>
      <c r="R8" s="45" t="n">
        <f aca="false">_Engine_R50!M47+_Engine_R50!N47+_Engine_R50!O47+_Engine_R50!D47+_Engine_R50!E47+_Engine_R50!Q47</f>
        <v>97.7233567116687</v>
      </c>
      <c r="S8" s="45" t="n">
        <f aca="false">_Engine_R50!M48+_Engine_R50!N48+_Engine_R50!O48+_Engine_R50!D48+_Engine_R50!E48+_Engine_R50!Q48</f>
        <v>96.5410343965377</v>
      </c>
      <c r="T8" s="45" t="n">
        <f aca="false">_Engine_R50!M49+_Engine_R50!N49+_Engine_R50!O49+_Engine_R50!D49+_Engine_R50!E49+_Engine_R50!Q49</f>
        <v>95.3696889747694</v>
      </c>
      <c r="U8" s="45" t="n">
        <f aca="false">_Engine_R50!M50+_Engine_R50!N50+_Engine_R50!O50+_Engine_R50!D50+_Engine_R50!E50+_Engine_R50!Q50</f>
        <v>94.209185155348</v>
      </c>
      <c r="V8" s="45" t="n">
        <f aca="false">_Engine_R50!M51+_Engine_R50!N51+_Engine_R50!O51+_Engine_R50!D51+_Engine_R50!E51+_Engine_R50!Q51</f>
        <v>93.0593893768951</v>
      </c>
      <c r="W8" s="45" t="n">
        <f aca="false">_Engine_R50!M52+_Engine_R50!N52+_Engine_R50!O52+_Engine_R50!D52+_Engine_R50!E52+_Engine_R50!Q52</f>
        <v>92.0938734888195</v>
      </c>
      <c r="X8" s="45" t="n">
        <f aca="false">_Engine_R50!M53+_Engine_R50!N53+_Engine_R50!O53+_Engine_R50!D53+_Engine_R50!E53+_Engine_R50!Q53</f>
        <v>91.13880361795</v>
      </c>
      <c r="Y8" s="45" t="n">
        <f aca="false">_Engine_R50!M54+_Engine_R50!N54+_Engine_R50!O54+_Engine_R50!D54+_Engine_R50!E54+_Engine_R50!Q54</f>
        <v>90.1940512576832</v>
      </c>
    </row>
    <row r="9" customFormat="false" ht="15" hidden="false" customHeight="true" outlineLevel="0" collapsed="false">
      <c r="A9" s="17" t="s">
        <v>559</v>
      </c>
      <c r="B9" s="45" t="n">
        <f aca="false">_Engine_R50!S31</f>
        <v>0</v>
      </c>
      <c r="C9" s="45" t="n">
        <f aca="false">_Engine_R50!S32</f>
        <v>0</v>
      </c>
      <c r="D9" s="45" t="n">
        <f aca="false">_Engine_R50!S33</f>
        <v>0</v>
      </c>
      <c r="E9" s="45" t="n">
        <f aca="false">_Engine_R50!S34</f>
        <v>0.125</v>
      </c>
      <c r="F9" s="45" t="n">
        <f aca="false">_Engine_R50!S35</f>
        <v>0.124466835152805</v>
      </c>
      <c r="G9" s="45" t="n">
        <f aca="false">_Engine_R50!S36</f>
        <v>0.123935944423644</v>
      </c>
      <c r="H9" s="45" t="n">
        <f aca="false">_Engine_R50!S37</f>
        <v>0.123407318112679</v>
      </c>
      <c r="I9" s="45" t="n">
        <f aca="false">_Engine_R50!S38</f>
        <v>0.247880946561445</v>
      </c>
      <c r="J9" s="45" t="n">
        <f aca="false">_Engine_R50!S39</f>
        <v>0.246264118783335</v>
      </c>
      <c r="K9" s="45" t="n">
        <f aca="false">_Engine_R50!S40</f>
        <v>0.244659078541698</v>
      </c>
      <c r="L9" s="45" t="n">
        <f aca="false">_Engine_R50!S41</f>
        <v>0.243065732801525</v>
      </c>
      <c r="M9" s="45" t="n">
        <f aca="false">_Engine_R50!S42</f>
        <v>0.366483989298397</v>
      </c>
      <c r="N9" s="45" t="n">
        <f aca="false">_Engine_R50!S43</f>
        <v>0.363232263155451</v>
      </c>
      <c r="O9" s="45" t="n">
        <f aca="false">_Engine_R50!S44</f>
        <v>0.360014576366135</v>
      </c>
      <c r="P9" s="45" t="n">
        <f aca="false">_Engine_R50!S45</f>
        <v>0.356830534664278</v>
      </c>
      <c r="Q9" s="45" t="n">
        <f aca="false">_Engine_R50!S46</f>
        <v>0.478679748621508</v>
      </c>
      <c r="R9" s="45" t="n">
        <f aca="false">_Engine_R50!S47</f>
        <v>0.473880340209377</v>
      </c>
      <c r="S9" s="45" t="n">
        <f aca="false">_Engine_R50!S48</f>
        <v>0.469136042228011</v>
      </c>
      <c r="T9" s="45" t="n">
        <f aca="false">_Engine_R50!S49</f>
        <v>0.464446175122824</v>
      </c>
      <c r="U9" s="45" t="n">
        <f aca="false">_Engine_R50!S50</f>
        <v>0.459810068029274</v>
      </c>
      <c r="V9" s="45" t="n">
        <f aca="false">_Engine_R50!S51</f>
        <v>0.455227058659535</v>
      </c>
      <c r="W9" s="45" t="n">
        <f aca="false">_Engine_R50!S52</f>
        <v>0.450696493190657</v>
      </c>
      <c r="X9" s="45" t="n">
        <f aca="false">_Engine_R50!S53</f>
        <v>0.446217726154206</v>
      </c>
      <c r="Y9" s="45" t="n">
        <f aca="false">_Engine_R50!S54</f>
        <v>0.441790120327355</v>
      </c>
    </row>
    <row r="10" customFormat="false" ht="15" hidden="false" customHeight="true" outlineLevel="0" collapsed="false">
      <c r="A10" s="17" t="s">
        <v>560</v>
      </c>
      <c r="B10" s="45" t="n">
        <f aca="false">_Engine_R50!C31</f>
        <v>0.25</v>
      </c>
      <c r="C10" s="45" t="n">
        <f aca="false">_Engine_R50!C32</f>
        <v>0.25</v>
      </c>
      <c r="D10" s="45" t="n">
        <f aca="false">_Engine_R50!C33</f>
        <v>0.25</v>
      </c>
      <c r="E10" s="45" t="n">
        <f aca="false">_Engine_R50!C34</f>
        <v>0.25</v>
      </c>
      <c r="F10" s="45" t="n">
        <f aca="false">_Engine_R50!C35</f>
        <v>0.25</v>
      </c>
      <c r="G10" s="45" t="n">
        <f aca="false">_Engine_R50!C36</f>
        <v>0.25</v>
      </c>
      <c r="H10" s="45" t="n">
        <f aca="false">_Engine_R50!C37</f>
        <v>0.25</v>
      </c>
      <c r="I10" s="45" t="n">
        <f aca="false">_Engine_R50!C38</f>
        <v>0.25</v>
      </c>
      <c r="J10" s="45" t="n">
        <f aca="false">_Engine_R50!C39</f>
        <v>0.25</v>
      </c>
      <c r="K10" s="45" t="n">
        <f aca="false">_Engine_R50!C40</f>
        <v>0.25</v>
      </c>
      <c r="L10" s="45" t="n">
        <f aca="false">_Engine_R50!C41</f>
        <v>0.25</v>
      </c>
      <c r="M10" s="45" t="n">
        <f aca="false">_Engine_R50!C42</f>
        <v>0.25</v>
      </c>
      <c r="N10" s="45" t="n">
        <f aca="false">_Engine_R50!C43</f>
        <v>0.25</v>
      </c>
      <c r="O10" s="45" t="n">
        <f aca="false">_Engine_R50!C44</f>
        <v>0.25</v>
      </c>
      <c r="P10" s="45" t="n">
        <f aca="false">_Engine_R50!C45</f>
        <v>0.25</v>
      </c>
      <c r="Q10" s="45" t="n">
        <f aca="false">_Engine_R50!C46</f>
        <v>0.25</v>
      </c>
      <c r="R10" s="45" t="n">
        <f aca="false">_Engine_R50!C47</f>
        <v>0.25</v>
      </c>
      <c r="S10" s="45" t="n">
        <f aca="false">_Engine_R50!C48</f>
        <v>0.25</v>
      </c>
      <c r="T10" s="45" t="n">
        <f aca="false">_Engine_R50!C49</f>
        <v>0</v>
      </c>
      <c r="U10" s="45" t="n">
        <f aca="false">_Engine_R50!C50</f>
        <v>0</v>
      </c>
      <c r="V10" s="45" t="n">
        <f aca="false">_Engine_R50!C51</f>
        <v>0</v>
      </c>
      <c r="W10" s="45" t="n">
        <f aca="false">_Engine_R50!C52</f>
        <v>0</v>
      </c>
      <c r="X10" s="45" t="n">
        <f aca="false">_Engine_R50!C53</f>
        <v>0</v>
      </c>
      <c r="Y10" s="45" t="n">
        <f aca="false">_Engine_R50!C54</f>
        <v>0</v>
      </c>
    </row>
    <row r="11" customFormat="false" ht="15" hidden="false" customHeight="true" outlineLevel="0" collapsed="false">
      <c r="A11" s="18" t="s">
        <v>250</v>
      </c>
      <c r="B11" s="230" t="n">
        <f aca="false">_Engine_R50!V31</f>
        <v>-0.288105825</v>
      </c>
      <c r="C11" s="230" t="n">
        <f aca="false">_Engine_R50!V32</f>
        <v>-0.288105825</v>
      </c>
      <c r="D11" s="230" t="n">
        <f aca="false">_Engine_R50!V33</f>
        <v>-0.288105825</v>
      </c>
      <c r="E11" s="230" t="n">
        <f aca="false">_Engine_R50!V34</f>
        <v>0.191060841666667</v>
      </c>
      <c r="F11" s="230" t="n">
        <f aca="false">_Engine_R50!V35</f>
        <v>0.370707504511931</v>
      </c>
      <c r="G11" s="230" t="n">
        <f aca="false">_Engine_R50!V36</f>
        <v>0.550384109911314</v>
      </c>
      <c r="H11" s="230" t="n">
        <f aca="false">_Engine_R50!V37</f>
        <v>0.730090530150277</v>
      </c>
      <c r="I11" s="229" t="n">
        <f aca="false">_Engine_R50!V38</f>
        <v>1.38899330472569</v>
      </c>
      <c r="J11" s="229" t="n">
        <f aca="false">_Engine_R50!V39</f>
        <v>1.74103840564724</v>
      </c>
      <c r="K11" s="230" t="n">
        <f aca="false">_Engine_R50!V40</f>
        <v>1.91953500542866</v>
      </c>
      <c r="L11" s="229" t="n">
        <f aca="false">_Engine_R50!V41</f>
        <v>2.09818558281267</v>
      </c>
      <c r="M11" s="229" t="n">
        <f aca="false">_Engine_R50!V42</f>
        <v>2.75615558965112</v>
      </c>
      <c r="N11" s="229" t="n">
        <f aca="false">_Engine_R50!V43</f>
        <v>2.75469965839863</v>
      </c>
      <c r="O11" s="229" t="n">
        <f aca="false">_Engine_R50!V44</f>
        <v>2.92492604159855</v>
      </c>
      <c r="P11" s="229" t="n">
        <f aca="false">_Engine_R50!V45</f>
        <v>3.09559541845003</v>
      </c>
      <c r="Q11" s="229" t="n">
        <f aca="false">_Engine_R50!V46</f>
        <v>3.74586932814616</v>
      </c>
      <c r="R11" s="229" t="n">
        <f aca="false">_Engine_R50!V47</f>
        <v>4.08193637664568</v>
      </c>
      <c r="S11" s="229" t="n">
        <f aca="false">_Engine_R50!V48</f>
        <v>4.24502534211325</v>
      </c>
      <c r="T11" s="229" t="n">
        <f aca="false">_Engine_R50!V49</f>
        <v>4.40883098078384</v>
      </c>
      <c r="U11" s="229" t="n">
        <f aca="false">_Engine_R50!V50</f>
        <v>4.57334445960766</v>
      </c>
      <c r="V11" s="229" t="n">
        <f aca="false">_Engine_R50!V51</f>
        <v>4.73855705846166</v>
      </c>
      <c r="W11" s="229" t="n">
        <f aca="false">_Engine_R50!V52</f>
        <v>4.73075646497328</v>
      </c>
      <c r="X11" s="229" t="n">
        <f aca="false">_Engine_R50!V53</f>
        <v>4.72363788417852</v>
      </c>
      <c r="Y11" s="229" t="n">
        <f aca="false">_Engine_R50!V54</f>
        <v>4.71719292597684</v>
      </c>
    </row>
    <row r="12" customFormat="false" ht="15" hidden="false" customHeight="true" outlineLevel="0" collapsed="false">
      <c r="A12" s="17" t="s">
        <v>499</v>
      </c>
      <c r="B12" s="230" t="n">
        <f aca="false">B11</f>
        <v>-0.288105825</v>
      </c>
      <c r="C12" s="230" t="n">
        <f aca="false">B12+C11</f>
        <v>-0.57621165</v>
      </c>
      <c r="D12" s="230" t="n">
        <f aca="false">C12+D11</f>
        <v>-0.864317475</v>
      </c>
      <c r="E12" s="230" t="n">
        <f aca="false">D12+E11</f>
        <v>-0.673256633333333</v>
      </c>
      <c r="F12" s="230" t="n">
        <f aca="false">E12+F11</f>
        <v>-0.302549128821402</v>
      </c>
      <c r="G12" s="230" t="n">
        <f aca="false">F12+G11</f>
        <v>0.247834981089912</v>
      </c>
      <c r="H12" s="230" t="n">
        <f aca="false">G12+H11</f>
        <v>0.977925511240189</v>
      </c>
      <c r="I12" s="230" t="n">
        <f aca="false">H12+I11</f>
        <v>2.36691881596588</v>
      </c>
      <c r="J12" s="230" t="n">
        <f aca="false">I12+J11</f>
        <v>4.10795722161312</v>
      </c>
      <c r="K12" s="230" t="n">
        <f aca="false">J12+K11</f>
        <v>6.02749222704178</v>
      </c>
      <c r="L12" s="230" t="n">
        <f aca="false">K12+L11</f>
        <v>8.12567780985445</v>
      </c>
      <c r="M12" s="230" t="n">
        <f aca="false">L12+M11</f>
        <v>10.8818333995056</v>
      </c>
      <c r="N12" s="230" t="n">
        <f aca="false">M12+N11</f>
        <v>13.6365330579042</v>
      </c>
      <c r="O12" s="45" t="n">
        <f aca="false">N12+O11</f>
        <v>16.5614590995027</v>
      </c>
      <c r="P12" s="45" t="n">
        <f aca="false">O12+P11</f>
        <v>19.6570545179528</v>
      </c>
      <c r="Q12" s="45" t="n">
        <f aca="false">P12+Q11</f>
        <v>23.4029238460989</v>
      </c>
      <c r="R12" s="45" t="n">
        <f aca="false">Q12+R11</f>
        <v>27.4848602227446</v>
      </c>
      <c r="S12" s="45" t="n">
        <f aca="false">R12+S11</f>
        <v>31.7298855648579</v>
      </c>
      <c r="T12" s="45" t="n">
        <f aca="false">S12+T11</f>
        <v>36.1387165456417</v>
      </c>
      <c r="U12" s="45" t="n">
        <f aca="false">T12+U11</f>
        <v>40.7120610052494</v>
      </c>
      <c r="V12" s="45" t="n">
        <f aca="false">U12+V11</f>
        <v>45.450618063711</v>
      </c>
      <c r="W12" s="45" t="n">
        <f aca="false">V12+W11</f>
        <v>50.1813745286843</v>
      </c>
      <c r="X12" s="45" t="n">
        <f aca="false">W12+X11</f>
        <v>54.9050124128628</v>
      </c>
      <c r="Y12" s="45" t="n">
        <f aca="false">X12+Y11</f>
        <v>59.6222053388397</v>
      </c>
    </row>
    <row r="14" customFormat="false" ht="15" hidden="false" customHeight="true" outlineLevel="0" collapsed="false">
      <c r="A14" s="220" t="s">
        <v>561</v>
      </c>
      <c r="B14" s="230"/>
      <c r="C14" s="230"/>
      <c r="D14" s="230"/>
      <c r="E14" s="230"/>
      <c r="F14" s="230"/>
      <c r="G14" s="230"/>
      <c r="H14" s="230"/>
      <c r="I14" s="229"/>
      <c r="J14" s="229"/>
      <c r="K14" s="230"/>
      <c r="L14" s="229"/>
      <c r="M14" s="230"/>
      <c r="N14" s="229"/>
      <c r="O14" s="229"/>
      <c r="P14" s="229"/>
      <c r="Q14" s="230"/>
      <c r="R14" s="229"/>
      <c r="S14" s="229"/>
      <c r="T14" s="229"/>
      <c r="U14" s="229"/>
      <c r="V14" s="229"/>
      <c r="W14" s="229"/>
      <c r="X14" s="229"/>
      <c r="Y14" s="229"/>
    </row>
    <row r="15" customFormat="false" ht="15" hidden="false" customHeight="true" outlineLevel="0" collapsed="false">
      <c r="A15" s="9" t="s">
        <v>562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</row>
    <row r="16" customFormat="false" ht="15" hidden="false" customHeight="true" outlineLevel="0" collapsed="false">
      <c r="A16" s="9" t="s">
        <v>563</v>
      </c>
    </row>
    <row r="17" customFormat="false" ht="15" hidden="false" customHeight="true" outlineLevel="0" collapsed="false">
      <c r="A17" s="9"/>
    </row>
    <row r="18" customFormat="false" ht="15" hidden="false" customHeight="true" outlineLevel="0" collapsed="false">
      <c r="A18" s="19"/>
    </row>
    <row r="19" customFormat="false" ht="15" hidden="false" customHeight="true" outlineLevel="0" collapsed="false">
      <c r="A19" s="19"/>
    </row>
    <row r="20" customFormat="false" ht="15" hidden="false" customHeight="true" outlineLevel="0" collapsed="false">
      <c r="A20" s="34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86"/>
      <c r="AA20" s="86"/>
      <c r="AB20" s="86"/>
      <c r="AC20" s="86"/>
    </row>
    <row r="21" customFormat="false" ht="15" hidden="false" customHeight="true" outlineLevel="0" collapsed="false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</row>
    <row r="22" customFormat="false" ht="15" hidden="false" customHeight="true" outlineLevel="0" collapsed="false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 customFormat="false" ht="15" hidden="false" customHeight="true" outlineLevel="0" collapsed="false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</row>
    <row r="24" customFormat="false" ht="15" hidden="false" customHeight="true" outlineLevel="0" collapsed="false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</row>
    <row r="25" customFormat="false" ht="15" hidden="false" customHeight="true" outlineLevel="0" collapsed="false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 customFormat="false" ht="15" hidden="false" customHeight="true" outlineLevel="0" collapsed="false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 customFormat="false" ht="15" hidden="false" customHeight="true" outlineLevel="0" collapsed="false">
      <c r="A27" s="220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 customFormat="false" ht="15" hidden="false" customHeight="true" outlineLevel="0" collapsed="false">
      <c r="A28" s="220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 customFormat="false" ht="15" hidden="false" customHeight="true" outlineLevel="0" collapsed="false">
      <c r="A29" s="220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 customFormat="false" ht="15" hidden="false" customHeight="true" outlineLevel="0" collapsed="false">
      <c r="A30" s="220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 customFormat="false" ht="15" hidden="false" customHeight="true" outlineLevel="0" collapsed="false">
      <c r="A31" s="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 customFormat="false" ht="15" hidden="false" customHeight="true" outlineLevel="0" collapsed="false">
      <c r="A32" s="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 customFormat="false" ht="15" hidden="false" customHeight="true" outlineLevel="0" collapsed="false">
      <c r="A33" s="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 customFormat="false" ht="15" hidden="false" customHeight="true" outlineLevel="0" collapsed="false">
      <c r="A34" s="9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 customFormat="false" ht="15" hidden="false" customHeight="true" outlineLevel="0" collapsed="false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 customFormat="false" ht="15" hidden="false" customHeight="true" outlineLevel="0" collapsed="false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 customFormat="false" ht="15" hidden="false" customHeight="true" outlineLevel="0" collapsed="false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 customFormat="false" ht="15" hidden="false" customHeight="true" outlineLevel="0" collapsed="false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 customFormat="false" ht="15" hidden="false" customHeight="true" outlineLevel="0" collapsed="false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8"/>
  </cols>
  <sheetData>
    <row r="1" customFormat="false" ht="15.75" hidden="false" customHeight="true" outlineLevel="0" collapsed="false">
      <c r="A1" s="225" t="s">
        <v>564</v>
      </c>
      <c r="B1" s="3"/>
      <c r="C1" s="3"/>
      <c r="D1" s="3"/>
      <c r="I1" s="155"/>
    </row>
    <row r="2" customFormat="false" ht="15" hidden="false" customHeight="true" outlineLevel="0" collapsed="false">
      <c r="A2" s="9" t="s">
        <v>565</v>
      </c>
    </row>
    <row r="3" customFormat="false" ht="15" hidden="false" customHeight="true" outlineLevel="0" collapsed="false">
      <c r="A3" s="86"/>
      <c r="B3" s="86"/>
      <c r="C3" s="86"/>
      <c r="D3" s="86"/>
      <c r="E3" s="86"/>
      <c r="F3" s="86"/>
      <c r="G3" s="86"/>
    </row>
    <row r="4" customFormat="false" ht="15" hidden="false" customHeight="true" outlineLevel="0" collapsed="false">
      <c r="A4" s="231" t="s">
        <v>566</v>
      </c>
      <c r="B4" s="232"/>
      <c r="C4" s="232"/>
      <c r="D4" s="232"/>
      <c r="E4" s="86"/>
      <c r="F4" s="86"/>
      <c r="G4" s="86"/>
    </row>
    <row r="5" customFormat="false" ht="15" hidden="false" customHeight="true" outlineLevel="0" collapsed="false">
      <c r="A5" s="86"/>
      <c r="B5" s="233" t="s">
        <v>567</v>
      </c>
      <c r="C5" s="233" t="s">
        <v>568</v>
      </c>
      <c r="D5" s="233" t="s">
        <v>569</v>
      </c>
      <c r="E5" s="86"/>
      <c r="F5" s="86"/>
      <c r="G5" s="86"/>
    </row>
    <row r="6" customFormat="false" ht="15" hidden="false" customHeight="true" outlineLevel="0" collapsed="false">
      <c r="A6" s="86" t="s">
        <v>570</v>
      </c>
      <c r="B6" s="87" t="n">
        <v>4.5</v>
      </c>
      <c r="C6" s="87" t="n">
        <v>30</v>
      </c>
      <c r="D6" s="234" t="n">
        <f aca="false">C6-B6</f>
        <v>25.5</v>
      </c>
      <c r="E6" s="86"/>
      <c r="F6" s="86"/>
      <c r="G6" s="86"/>
    </row>
    <row r="7" customFormat="false" ht="15" hidden="false" customHeight="true" outlineLevel="0" collapsed="false">
      <c r="A7" s="86" t="s">
        <v>542</v>
      </c>
      <c r="B7" s="87" t="n">
        <f aca="false">_Engine_R50!$B$251</f>
        <v>61.683932674371</v>
      </c>
      <c r="C7" s="87" t="n">
        <v>73.4552300422165</v>
      </c>
      <c r="D7" s="234" t="n">
        <f aca="false">C7-B7</f>
        <v>11.7712973678455</v>
      </c>
      <c r="E7" s="86"/>
      <c r="F7" s="86"/>
      <c r="G7" s="86"/>
    </row>
    <row r="8" customFormat="false" ht="15" hidden="false" customHeight="true" outlineLevel="0" collapsed="false">
      <c r="A8" s="220" t="s">
        <v>571</v>
      </c>
      <c r="B8" s="235" t="n">
        <f aca="false">B6+B7</f>
        <v>66.1839326743711</v>
      </c>
      <c r="C8" s="235" t="n">
        <f aca="false">C6+C7</f>
        <v>103.455230042217</v>
      </c>
      <c r="D8" s="236" t="n">
        <f aca="false">C8-B8</f>
        <v>37.2712973678455</v>
      </c>
      <c r="E8" s="86"/>
      <c r="F8" s="86"/>
      <c r="G8" s="86"/>
    </row>
    <row r="9" customFormat="false" ht="15" hidden="false" customHeight="true" outlineLevel="0" collapsed="false">
      <c r="A9" s="86"/>
      <c r="B9" s="86"/>
      <c r="C9" s="86"/>
      <c r="D9" s="86"/>
      <c r="E9" s="86"/>
      <c r="F9" s="86"/>
      <c r="G9" s="86"/>
    </row>
    <row r="10" customFormat="false" ht="15" hidden="false" customHeight="true" outlineLevel="0" collapsed="false">
      <c r="A10" s="34" t="s">
        <v>572</v>
      </c>
      <c r="B10" s="216"/>
      <c r="C10" s="216"/>
      <c r="D10" s="216"/>
      <c r="E10" s="216"/>
      <c r="F10" s="216"/>
      <c r="G10" s="216"/>
    </row>
    <row r="11" customFormat="false" ht="15" hidden="false" customHeight="true" outlineLevel="0" collapsed="false">
      <c r="A11" s="86" t="s">
        <v>573</v>
      </c>
      <c r="B11" s="237" t="n">
        <v>0.5</v>
      </c>
      <c r="C11" s="9" t="s">
        <v>574</v>
      </c>
      <c r="D11" s="86"/>
      <c r="E11" s="86"/>
      <c r="F11" s="86"/>
      <c r="G11" s="86"/>
    </row>
    <row r="12" customFormat="false" ht="15" hidden="false" customHeight="true" outlineLevel="0" collapsed="false">
      <c r="A12" s="86"/>
      <c r="B12" s="86"/>
      <c r="C12" s="86"/>
      <c r="D12" s="86"/>
      <c r="E12" s="86"/>
      <c r="F12" s="86"/>
      <c r="G12" s="86"/>
    </row>
    <row r="13" customFormat="false" ht="30" hidden="false" customHeight="true" outlineLevel="0" collapsed="false">
      <c r="A13" s="238" t="s">
        <v>575</v>
      </c>
      <c r="B13" s="238"/>
      <c r="C13" s="238" t="s">
        <v>567</v>
      </c>
      <c r="D13" s="238"/>
      <c r="E13" s="238" t="s">
        <v>568</v>
      </c>
      <c r="F13" s="86"/>
      <c r="G13" s="86"/>
    </row>
    <row r="14" customFormat="false" ht="15" hidden="false" customHeight="true" outlineLevel="0" collapsed="false">
      <c r="A14" s="86" t="s">
        <v>576</v>
      </c>
      <c r="B14" s="86"/>
      <c r="C14" s="86" t="n">
        <v>4.5</v>
      </c>
      <c r="D14" s="86"/>
      <c r="E14" s="86" t="n">
        <v>30</v>
      </c>
      <c r="F14" s="86"/>
      <c r="G14" s="86"/>
    </row>
    <row r="15" customFormat="false" ht="15" hidden="false" customHeight="true" outlineLevel="0" collapsed="false">
      <c r="A15" s="86" t="s">
        <v>577</v>
      </c>
      <c r="B15" s="86"/>
      <c r="C15" s="86" t="n">
        <f aca="false">_Engine_R50!B256*$B$11</f>
        <v>55.1673969</v>
      </c>
      <c r="D15" s="86"/>
      <c r="E15" s="86" t="n">
        <v>0</v>
      </c>
      <c r="F15" s="86"/>
      <c r="G15" s="86"/>
    </row>
    <row r="16" customFormat="false" ht="15" hidden="false" customHeight="true" outlineLevel="0" collapsed="false">
      <c r="A16" s="86" t="s">
        <v>578</v>
      </c>
      <c r="B16" s="86"/>
      <c r="C16" s="86" t="n">
        <f aca="false">_Engine_R50!B255</f>
        <v>0</v>
      </c>
      <c r="D16" s="86"/>
      <c r="E16" s="86" t="n">
        <v>0</v>
      </c>
      <c r="F16" s="86"/>
      <c r="G16" s="86"/>
    </row>
    <row r="17" customFormat="false" ht="15" hidden="false" customHeight="true" outlineLevel="0" collapsed="false">
      <c r="A17" s="86" t="s">
        <v>542</v>
      </c>
      <c r="B17" s="86"/>
      <c r="C17" s="86" t="n">
        <f aca="false">_Engine_R50!B251</f>
        <v>61.683932674371</v>
      </c>
      <c r="D17" s="86"/>
      <c r="E17" s="86" t="n">
        <v>73.4552300422165</v>
      </c>
      <c r="F17" s="86"/>
      <c r="G17" s="86"/>
    </row>
    <row r="18" customFormat="false" ht="15" hidden="false" customHeight="true" outlineLevel="0" collapsed="false">
      <c r="A18" s="220" t="s">
        <v>579</v>
      </c>
      <c r="B18" s="239"/>
      <c r="C18" s="239" t="n">
        <f aca="false">SUM(C14:C17)</f>
        <v>121.351329574371</v>
      </c>
      <c r="D18" s="239"/>
      <c r="E18" s="239" t="n">
        <f aca="false">SUM(E14:E17)</f>
        <v>103.455230042217</v>
      </c>
      <c r="F18" s="86"/>
      <c r="G18" s="86"/>
    </row>
    <row r="19" customFormat="false" ht="15" hidden="false" customHeight="true" outlineLevel="0" collapsed="false">
      <c r="A19" s="86"/>
      <c r="B19" s="86"/>
      <c r="C19" s="86"/>
      <c r="D19" s="86"/>
      <c r="E19" s="86"/>
      <c r="F19" s="86"/>
      <c r="G19" s="86"/>
    </row>
    <row r="20" customFormat="false" ht="15" hidden="false" customHeight="true" outlineLevel="0" collapsed="false">
      <c r="A20" s="86" t="s">
        <v>580</v>
      </c>
      <c r="B20" s="86"/>
      <c r="C20" s="86" t="n">
        <f aca="false">_Engine_R50!B250</f>
        <v>449.719089947909</v>
      </c>
      <c r="D20" s="86"/>
      <c r="E20" s="86" t="s">
        <v>581</v>
      </c>
      <c r="F20" s="86"/>
      <c r="G20" s="86"/>
    </row>
    <row r="21" customFormat="false" ht="15" hidden="false" customHeight="true" outlineLevel="0" collapsed="false">
      <c r="A21" s="86" t="s">
        <v>582</v>
      </c>
      <c r="B21" s="86"/>
      <c r="C21" s="86" t="n">
        <f aca="false">C18+C20</f>
        <v>571.07041952228</v>
      </c>
      <c r="D21" s="86"/>
      <c r="E21" s="86"/>
      <c r="F21" s="86"/>
      <c r="G21" s="86"/>
    </row>
    <row r="22" customFormat="false" ht="15" hidden="false" customHeight="true" outlineLevel="0" collapsed="false">
      <c r="A22" s="86" t="s">
        <v>583</v>
      </c>
      <c r="B22" s="224"/>
      <c r="C22" s="224" t="n">
        <f aca="false">C18/C21</f>
        <v>0.212498013250074</v>
      </c>
      <c r="D22" s="224"/>
      <c r="E22" s="86"/>
      <c r="F22" s="86"/>
      <c r="G22" s="86"/>
    </row>
    <row r="23" customFormat="false" ht="15" hidden="false" customHeight="true" outlineLevel="0" collapsed="false">
      <c r="A23" s="86"/>
      <c r="B23" s="86"/>
      <c r="C23" s="86"/>
      <c r="D23" s="86"/>
      <c r="E23" s="86"/>
      <c r="F23" s="86"/>
      <c r="G23" s="86"/>
    </row>
    <row r="24" customFormat="false" ht="15" hidden="false" customHeight="true" outlineLevel="0" collapsed="false">
      <c r="A24" s="220" t="s">
        <v>584</v>
      </c>
      <c r="B24" s="240"/>
      <c r="C24" s="240" t="n">
        <f aca="false">C18-B8</f>
        <v>55.1673969</v>
      </c>
      <c r="D24" s="240"/>
      <c r="E24" s="86"/>
      <c r="F24" s="86"/>
      <c r="G24" s="86"/>
    </row>
    <row r="25" customFormat="false" ht="15" hidden="false" customHeight="true" outlineLevel="0" collapsed="false">
      <c r="A25" s="86"/>
      <c r="B25" s="86"/>
      <c r="C25" s="86"/>
      <c r="D25" s="86"/>
      <c r="E25" s="86"/>
      <c r="F25" s="86"/>
      <c r="G25" s="86"/>
    </row>
    <row r="26" customFormat="false" ht="15" hidden="false" customHeight="true" outlineLevel="0" collapsed="false">
      <c r="A26" s="86"/>
      <c r="B26" s="86"/>
      <c r="C26" s="86"/>
      <c r="D26" s="86"/>
      <c r="E26" s="86"/>
      <c r="F26" s="86"/>
      <c r="G26" s="86"/>
    </row>
    <row r="27" customFormat="false" ht="15" hidden="false" customHeight="true" outlineLevel="0" collapsed="false">
      <c r="A27" s="220" t="s">
        <v>561</v>
      </c>
      <c r="B27" s="86"/>
      <c r="C27" s="86"/>
      <c r="D27" s="86"/>
      <c r="E27" s="86"/>
      <c r="F27" s="86"/>
      <c r="G27" s="86"/>
    </row>
    <row r="28" customFormat="false" ht="15" hidden="false" customHeight="true" outlineLevel="0" collapsed="false">
      <c r="A28" s="9" t="s">
        <v>585</v>
      </c>
      <c r="B28" s="86"/>
      <c r="C28" s="86"/>
      <c r="D28" s="86"/>
      <c r="E28" s="86"/>
      <c r="F28" s="86"/>
      <c r="G28" s="86"/>
    </row>
    <row r="29" customFormat="false" ht="15" hidden="false" customHeight="true" outlineLevel="0" collapsed="false">
      <c r="A29" s="9" t="s">
        <v>586</v>
      </c>
      <c r="B29" s="86"/>
      <c r="C29" s="86"/>
      <c r="D29" s="86"/>
      <c r="E29" s="86"/>
      <c r="F29" s="86"/>
      <c r="G29" s="86"/>
    </row>
    <row r="30" customFormat="false" ht="15" hidden="false" customHeight="true" outlineLevel="0" collapsed="false">
      <c r="A30" s="9" t="s">
        <v>587</v>
      </c>
      <c r="B30" s="86"/>
      <c r="C30" s="86"/>
      <c r="D30" s="86"/>
      <c r="E30" s="86"/>
      <c r="F30" s="86"/>
      <c r="G30" s="86"/>
    </row>
    <row r="31" customFormat="false" ht="15" hidden="false" customHeight="true" outlineLevel="0" collapsed="false">
      <c r="A31" s="9" t="s">
        <v>588</v>
      </c>
      <c r="B31" s="86"/>
      <c r="C31" s="86"/>
      <c r="D31" s="86"/>
      <c r="E31" s="86"/>
      <c r="F31" s="86"/>
      <c r="G31" s="86"/>
    </row>
    <row r="32" customFormat="false" ht="15" hidden="false" customHeight="true" outlineLevel="0" collapsed="false">
      <c r="A32" s="9" t="s">
        <v>589</v>
      </c>
      <c r="B32" s="86"/>
      <c r="C32" s="86"/>
      <c r="D32" s="86"/>
      <c r="E32" s="86"/>
      <c r="F32" s="86"/>
      <c r="G32" s="86"/>
    </row>
    <row r="33" customFormat="false" ht="15" hidden="false" customHeight="true" outlineLevel="0" collapsed="false">
      <c r="A33" s="9" t="s">
        <v>590</v>
      </c>
      <c r="B33" s="86"/>
      <c r="C33" s="86"/>
      <c r="D33" s="86"/>
      <c r="E33" s="86"/>
      <c r="F33" s="86"/>
      <c r="G33" s="86"/>
    </row>
    <row r="34" customFormat="false" ht="15" hidden="false" customHeight="true" outlineLevel="0" collapsed="false">
      <c r="A34" s="9" t="s">
        <v>591</v>
      </c>
      <c r="B34" s="86"/>
      <c r="C34" s="86"/>
      <c r="D34" s="86"/>
      <c r="E34" s="86"/>
      <c r="F34" s="86"/>
      <c r="G34" s="86"/>
    </row>
    <row r="35" customFormat="false" ht="15" hidden="false" customHeight="true" outlineLevel="0" collapsed="false">
      <c r="A35" s="9" t="s">
        <v>592</v>
      </c>
      <c r="B35" s="86"/>
      <c r="C35" s="86"/>
      <c r="D35" s="86"/>
      <c r="E35" s="86"/>
      <c r="F35" s="86"/>
      <c r="G35" s="86"/>
    </row>
    <row r="36" customFormat="false" ht="15" hidden="false" customHeight="true" outlineLevel="0" collapsed="false">
      <c r="A36" s="9" t="s">
        <v>593</v>
      </c>
      <c r="B36" s="86"/>
      <c r="C36" s="86"/>
      <c r="D36" s="86"/>
      <c r="E36" s="86"/>
      <c r="F36" s="86"/>
      <c r="G36" s="86"/>
    </row>
    <row r="37" customFormat="false" ht="15" hidden="false" customHeight="true" outlineLevel="0" collapsed="false">
      <c r="A37" s="86"/>
      <c r="B37" s="86"/>
      <c r="C37" s="86"/>
      <c r="D37" s="86"/>
      <c r="E37" s="86"/>
      <c r="F37" s="86"/>
      <c r="G37" s="86"/>
    </row>
    <row r="38" customFormat="false" ht="15" hidden="false" customHeight="true" outlineLevel="0" collapsed="false">
      <c r="A38" s="86"/>
      <c r="B38" s="86"/>
      <c r="C38" s="86"/>
      <c r="D38" s="86"/>
      <c r="E38" s="86"/>
      <c r="F38" s="86"/>
      <c r="G38" s="86"/>
    </row>
    <row r="39" customFormat="false" ht="15" hidden="false" customHeight="true" outlineLevel="0" collapsed="false">
      <c r="A39" s="86"/>
      <c r="B39" s="86"/>
      <c r="C39" s="86"/>
      <c r="D39" s="86"/>
      <c r="E39" s="86"/>
      <c r="F39" s="86"/>
      <c r="G39" s="86"/>
    </row>
    <row r="40" customFormat="false" ht="15" hidden="false" customHeight="true" outlineLevel="0" collapsed="false">
      <c r="A40" s="86"/>
      <c r="B40" s="86"/>
      <c r="C40" s="86"/>
      <c r="D40" s="86"/>
      <c r="E40" s="86"/>
      <c r="F40" s="86"/>
      <c r="G40" s="86"/>
    </row>
    <row r="41" customFormat="false" ht="15" hidden="false" customHeight="true" outlineLevel="0" collapsed="false">
      <c r="A41" s="86"/>
      <c r="B41" s="86"/>
      <c r="C41" s="86"/>
      <c r="D41" s="86"/>
      <c r="E41" s="86"/>
      <c r="F41" s="86"/>
      <c r="G41" s="86"/>
    </row>
    <row r="42" customFormat="false" ht="15" hidden="false" customHeight="true" outlineLevel="0" collapsed="false">
      <c r="A42" s="86"/>
      <c r="B42" s="86"/>
      <c r="C42" s="86"/>
      <c r="D42" s="86"/>
      <c r="E42" s="86"/>
      <c r="F42" s="86"/>
      <c r="G42" s="86"/>
    </row>
    <row r="43" customFormat="false" ht="15" hidden="false" customHeight="true" outlineLevel="0" collapsed="false">
      <c r="A43" s="86"/>
      <c r="B43" s="86"/>
      <c r="C43" s="86"/>
      <c r="D43" s="86"/>
      <c r="E43" s="86"/>
      <c r="F43" s="86"/>
      <c r="G43" s="86"/>
    </row>
    <row r="44" customFormat="false" ht="15" hidden="false" customHeight="true" outlineLevel="0" collapsed="false">
      <c r="A44" s="86"/>
      <c r="B44" s="86"/>
      <c r="C44" s="86"/>
      <c r="D44" s="86"/>
      <c r="E44" s="86"/>
      <c r="F44" s="86"/>
      <c r="G44" s="86"/>
    </row>
    <row r="45" customFormat="false" ht="15" hidden="false" customHeight="true" outlineLevel="0" collapsed="false">
      <c r="A45" s="86"/>
      <c r="B45" s="86"/>
      <c r="C45" s="86"/>
      <c r="D45" s="86"/>
      <c r="E45" s="86"/>
      <c r="F45" s="86"/>
      <c r="G45" s="86"/>
    </row>
    <row r="46" customFormat="false" ht="15" hidden="false" customHeight="true" outlineLevel="0" collapsed="false">
      <c r="A46" s="86"/>
      <c r="B46" s="86"/>
      <c r="C46" s="86"/>
      <c r="D46" s="86"/>
      <c r="E46" s="86"/>
      <c r="F46" s="86"/>
      <c r="G46" s="86"/>
    </row>
    <row r="47" customFormat="false" ht="15" hidden="false" customHeight="true" outlineLevel="0" collapsed="false">
      <c r="A47" s="86"/>
      <c r="B47" s="86"/>
      <c r="C47" s="86"/>
      <c r="D47" s="86"/>
      <c r="E47" s="86"/>
      <c r="F47" s="86"/>
      <c r="G47" s="86"/>
    </row>
    <row r="48" customFormat="false" ht="15" hidden="false" customHeight="true" outlineLevel="0" collapsed="false">
      <c r="A48" s="86"/>
      <c r="B48" s="86"/>
      <c r="C48" s="86"/>
      <c r="D48" s="86"/>
      <c r="E48" s="86"/>
      <c r="F48" s="86"/>
      <c r="G48" s="86"/>
    </row>
    <row r="49" customFormat="false" ht="15" hidden="false" customHeight="true" outlineLevel="0" collapsed="false">
      <c r="A49" s="86"/>
      <c r="B49" s="86"/>
      <c r="C49" s="86"/>
      <c r="D49" s="86"/>
      <c r="E49" s="86"/>
      <c r="F49" s="86"/>
      <c r="G49" s="86"/>
    </row>
    <row r="50" customFormat="false" ht="15" hidden="false" customHeight="true" outlineLevel="0" collapsed="false">
      <c r="A50" s="86"/>
      <c r="B50" s="86"/>
      <c r="C50" s="86"/>
      <c r="D50" s="86"/>
      <c r="E50" s="86"/>
      <c r="F50" s="86"/>
      <c r="G50" s="86"/>
    </row>
    <row r="51" customFormat="false" ht="15" hidden="false" customHeight="true" outlineLevel="0" collapsed="false">
      <c r="A51" s="86"/>
      <c r="B51" s="86"/>
      <c r="C51" s="86"/>
      <c r="D51" s="86"/>
      <c r="E51" s="86"/>
      <c r="F51" s="86"/>
      <c r="G51" s="86"/>
    </row>
    <row r="52" customFormat="false" ht="15" hidden="false" customHeight="true" outlineLevel="0" collapsed="false">
      <c r="A52" s="86"/>
      <c r="B52" s="86"/>
      <c r="C52" s="86"/>
      <c r="D52" s="86"/>
      <c r="E52" s="86"/>
      <c r="F52" s="86"/>
      <c r="G52" s="86"/>
    </row>
    <row r="53" customFormat="false" ht="15" hidden="false" customHeight="true" outlineLevel="0" collapsed="false">
      <c r="A53" s="86"/>
      <c r="B53" s="86"/>
      <c r="C53" s="86"/>
      <c r="D53" s="86"/>
      <c r="E53" s="86"/>
      <c r="F53" s="86"/>
      <c r="G53" s="86"/>
    </row>
    <row r="54" customFormat="false" ht="15" hidden="false" customHeight="true" outlineLevel="0" collapsed="false">
      <c r="A54" s="86"/>
      <c r="B54" s="86"/>
      <c r="C54" s="86"/>
      <c r="D54" s="86"/>
      <c r="E54" s="86"/>
      <c r="F54" s="86"/>
      <c r="G54" s="86"/>
    </row>
    <row r="55" customFormat="false" ht="15" hidden="false" customHeight="true" outlineLevel="0" collapsed="false">
      <c r="A55" s="86"/>
      <c r="B55" s="86"/>
      <c r="C55" s="86"/>
      <c r="D55" s="86"/>
      <c r="E55" s="86"/>
      <c r="F55" s="86"/>
      <c r="G55" s="86"/>
    </row>
    <row r="56" customFormat="false" ht="15" hidden="false" customHeight="true" outlineLevel="0" collapsed="false">
      <c r="A56" s="86"/>
      <c r="B56" s="86"/>
      <c r="C56" s="86"/>
      <c r="D56" s="86"/>
      <c r="E56" s="86"/>
      <c r="F56" s="86"/>
      <c r="G56" s="86"/>
    </row>
    <row r="57" customFormat="false" ht="15" hidden="false" customHeight="true" outlineLevel="0" collapsed="false">
      <c r="A57" s="86"/>
      <c r="B57" s="86"/>
      <c r="C57" s="86"/>
      <c r="D57" s="86"/>
      <c r="E57" s="86"/>
      <c r="F57" s="86"/>
      <c r="G57" s="86"/>
    </row>
    <row r="58" customFormat="false" ht="15" hidden="false" customHeight="true" outlineLevel="0" collapsed="false">
      <c r="A58" s="86"/>
      <c r="B58" s="86"/>
      <c r="C58" s="86"/>
      <c r="D58" s="86"/>
      <c r="E58" s="86"/>
      <c r="F58" s="86"/>
      <c r="G58" s="86"/>
    </row>
    <row r="59" customFormat="false" ht="15" hidden="false" customHeight="true" outlineLevel="0" collapsed="false">
      <c r="A59" s="86"/>
      <c r="B59" s="86"/>
      <c r="C59" s="86"/>
      <c r="D59" s="86"/>
      <c r="E59" s="86"/>
      <c r="F59" s="86"/>
      <c r="G59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5.75" hidden="false" customHeight="true" outlineLevel="0" collapsed="false">
      <c r="A1" s="225" t="s">
        <v>594</v>
      </c>
      <c r="B1" s="3"/>
      <c r="C1" s="3"/>
    </row>
    <row r="2" customFormat="false" ht="15" hidden="false" customHeight="true" outlineLevel="0" collapsed="false">
      <c r="A2" s="31" t="s">
        <v>595</v>
      </c>
    </row>
    <row r="4" customFormat="false" ht="15" hidden="false" customHeight="true" outlineLevel="0" collapsed="false">
      <c r="A4" s="21" t="s">
        <v>596</v>
      </c>
      <c r="B4" s="3"/>
      <c r="C4" s="3"/>
    </row>
    <row r="5" customFormat="false" ht="15" hidden="false" customHeight="true" outlineLevel="0" collapsed="false">
      <c r="A5" s="17" t="s">
        <v>597</v>
      </c>
      <c r="B5" s="132" t="n">
        <v>200</v>
      </c>
      <c r="C5" s="19" t="s">
        <v>598</v>
      </c>
    </row>
    <row r="6" customFormat="false" ht="15" hidden="false" customHeight="true" outlineLevel="0" collapsed="false">
      <c r="A6" s="17" t="s">
        <v>599</v>
      </c>
      <c r="B6" s="132" t="n">
        <v>50</v>
      </c>
      <c r="C6" s="19" t="s">
        <v>600</v>
      </c>
    </row>
    <row r="7" customFormat="false" ht="15" hidden="false" customHeight="true" outlineLevel="0" collapsed="false">
      <c r="A7" s="17" t="s">
        <v>601</v>
      </c>
      <c r="B7" s="132" t="n">
        <v>15</v>
      </c>
      <c r="C7" s="19" t="s">
        <v>602</v>
      </c>
    </row>
    <row r="8" customFormat="false" ht="15" hidden="false" customHeight="true" outlineLevel="0" collapsed="false">
      <c r="A8" s="17" t="s">
        <v>603</v>
      </c>
      <c r="B8" s="132" t="n">
        <v>8</v>
      </c>
      <c r="C8" s="19" t="s">
        <v>604</v>
      </c>
    </row>
    <row r="9" customFormat="false" ht="15" hidden="false" customHeight="true" outlineLevel="0" collapsed="false">
      <c r="A9" s="17" t="s">
        <v>605</v>
      </c>
      <c r="B9" s="132" t="n">
        <v>5</v>
      </c>
      <c r="C9" s="19" t="s">
        <v>606</v>
      </c>
    </row>
    <row r="10" customFormat="false" ht="15" hidden="false" customHeight="true" outlineLevel="0" collapsed="false">
      <c r="A10" s="17" t="s">
        <v>607</v>
      </c>
      <c r="B10" s="104" t="s">
        <v>608</v>
      </c>
      <c r="C10" s="19" t="s">
        <v>609</v>
      </c>
    </row>
    <row r="12" customFormat="false" ht="15" hidden="false" customHeight="true" outlineLevel="0" collapsed="false">
      <c r="A12" s="21" t="s">
        <v>610</v>
      </c>
      <c r="B12" s="3"/>
      <c r="C12" s="3"/>
    </row>
    <row r="13" customFormat="false" ht="15" hidden="false" customHeight="true" outlineLevel="0" collapsed="false">
      <c r="A13" s="18" t="s">
        <v>611</v>
      </c>
      <c r="B13" s="19" t="s">
        <v>612</v>
      </c>
    </row>
    <row r="14" customFormat="false" ht="15" hidden="false" customHeight="true" outlineLevel="0" collapsed="false">
      <c r="A14" s="18" t="s">
        <v>613</v>
      </c>
      <c r="B14" s="19" t="s">
        <v>614</v>
      </c>
    </row>
    <row r="15" customFormat="false" ht="15" hidden="false" customHeight="true" outlineLevel="0" collapsed="false">
      <c r="A15" s="18" t="s">
        <v>615</v>
      </c>
      <c r="B15" s="19" t="s">
        <v>616</v>
      </c>
    </row>
    <row r="16" customFormat="false" ht="15" hidden="false" customHeight="true" outlineLevel="0" collapsed="false">
      <c r="A16" s="18" t="s">
        <v>617</v>
      </c>
      <c r="B16" s="19" t="s">
        <v>618</v>
      </c>
    </row>
    <row r="17" customFormat="false" ht="15" hidden="false" customHeight="true" outlineLevel="0" collapsed="false">
      <c r="A17" s="18" t="s">
        <v>619</v>
      </c>
      <c r="B17" s="19" t="s">
        <v>620</v>
      </c>
    </row>
    <row r="19" customFormat="false" ht="15" hidden="false" customHeight="true" outlineLevel="0" collapsed="false">
      <c r="A19" s="21" t="s">
        <v>621</v>
      </c>
      <c r="B19" s="3"/>
      <c r="C19" s="3"/>
    </row>
    <row r="20" customFormat="false" ht="15" hidden="false" customHeight="true" outlineLevel="0" collapsed="false">
      <c r="A20" s="17" t="s">
        <v>622</v>
      </c>
      <c r="B20" s="17" t="s">
        <v>623</v>
      </c>
    </row>
    <row r="21" customFormat="false" ht="15" hidden="false" customHeight="true" outlineLevel="0" collapsed="false">
      <c r="A21" s="17" t="s">
        <v>624</v>
      </c>
      <c r="B21" s="17" t="s">
        <v>625</v>
      </c>
    </row>
    <row r="22" customFormat="false" ht="15" hidden="false" customHeight="true" outlineLevel="0" collapsed="false">
      <c r="A22" s="17" t="s">
        <v>626</v>
      </c>
      <c r="B22" s="17" t="s">
        <v>627</v>
      </c>
    </row>
    <row r="23" customFormat="false" ht="15" hidden="false" customHeight="true" outlineLevel="0" collapsed="false">
      <c r="A23" s="17" t="s">
        <v>628</v>
      </c>
      <c r="B23" s="17" t="s">
        <v>629</v>
      </c>
    </row>
    <row r="24" customFormat="false" ht="15" hidden="false" customHeight="true" outlineLevel="0" collapsed="false">
      <c r="A24" s="17" t="s">
        <v>630</v>
      </c>
      <c r="B24" s="17" t="s">
        <v>631</v>
      </c>
    </row>
    <row r="25" customFormat="false" ht="15" hidden="false" customHeight="true" outlineLevel="0" collapsed="false">
      <c r="A25" s="17" t="s">
        <v>632</v>
      </c>
      <c r="B25" s="17" t="s">
        <v>633</v>
      </c>
    </row>
    <row r="26" customFormat="false" ht="15" hidden="false" customHeight="true" outlineLevel="0" collapsed="false">
      <c r="A26" s="17" t="s">
        <v>634</v>
      </c>
      <c r="B26" s="17" t="s">
        <v>635</v>
      </c>
    </row>
    <row r="27" customFormat="false" ht="15" hidden="false" customHeight="true" outlineLevel="0" collapsed="false">
      <c r="A27" s="17" t="s">
        <v>636</v>
      </c>
      <c r="B27" s="17" t="s">
        <v>637</v>
      </c>
    </row>
    <row r="28" customFormat="false" ht="15" hidden="false" customHeight="true" outlineLevel="0" collapsed="false">
      <c r="A28" s="17" t="s">
        <v>638</v>
      </c>
      <c r="B28" s="17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  <col collapsed="false" customWidth="true" hidden="false" outlineLevel="0" max="4" min="4" style="1" width="75"/>
  </cols>
  <sheetData>
    <row r="1" customFormat="false" ht="15.75" hidden="false" customHeight="true" outlineLevel="0" collapsed="false">
      <c r="A1" s="41" t="s">
        <v>640</v>
      </c>
      <c r="B1" s="3"/>
      <c r="C1" s="3"/>
      <c r="I1" s="155"/>
    </row>
    <row r="2" customFormat="false" ht="15" hidden="false" customHeight="true" outlineLevel="0" collapsed="false">
      <c r="A2" s="9" t="s">
        <v>641</v>
      </c>
    </row>
    <row r="3" customFormat="false" ht="15" hidden="false" customHeight="true" outlineLevel="0" collapsed="false">
      <c r="A3" s="5" t="s">
        <v>642</v>
      </c>
    </row>
    <row r="4" customFormat="false" ht="15" hidden="false" customHeight="true" outlineLevel="0" collapsed="false">
      <c r="B4" s="43"/>
      <c r="C4" s="43"/>
    </row>
    <row r="5" customFormat="false" ht="15" hidden="false" customHeight="true" outlineLevel="0" collapsed="false">
      <c r="A5" s="34" t="s">
        <v>643</v>
      </c>
      <c r="B5" s="35"/>
      <c r="C5" s="35"/>
    </row>
    <row r="6" customFormat="false" ht="15" hidden="false" customHeight="true" outlineLevel="0" collapsed="false">
      <c r="A6" s="41" t="s">
        <v>644</v>
      </c>
      <c r="B6" s="41" t="s">
        <v>645</v>
      </c>
      <c r="C6" s="41" t="s">
        <v>646</v>
      </c>
    </row>
    <row r="7" customFormat="false" ht="15" hidden="false" customHeight="true" outlineLevel="0" collapsed="false">
      <c r="A7" s="17" t="s">
        <v>647</v>
      </c>
      <c r="B7" s="17" t="s">
        <v>648</v>
      </c>
      <c r="C7" s="19" t="s">
        <v>649</v>
      </c>
    </row>
    <row r="8" customFormat="false" ht="15" hidden="false" customHeight="true" outlineLevel="0" collapsed="false">
      <c r="A8" s="17" t="s">
        <v>650</v>
      </c>
      <c r="B8" s="17" t="s">
        <v>651</v>
      </c>
      <c r="C8" s="19" t="s">
        <v>652</v>
      </c>
    </row>
    <row r="9" customFormat="false" ht="15" hidden="false" customHeight="true" outlineLevel="0" collapsed="false">
      <c r="A9" s="17" t="s">
        <v>653</v>
      </c>
      <c r="B9" s="17"/>
      <c r="C9" s="19" t="s">
        <v>654</v>
      </c>
    </row>
    <row r="10" customFormat="false" ht="15" hidden="false" customHeight="true" outlineLevel="0" collapsed="false">
      <c r="A10" s="1" t="s">
        <v>655</v>
      </c>
      <c r="B10" s="1" t="s">
        <v>656</v>
      </c>
      <c r="C10" s="1" t="s">
        <v>657</v>
      </c>
    </row>
    <row r="11" customFormat="false" ht="15" hidden="false" customHeight="true" outlineLevel="0" collapsed="false">
      <c r="A11" s="21"/>
      <c r="B11" s="3"/>
      <c r="C11" s="3"/>
    </row>
    <row r="12" customFormat="false" ht="15" hidden="false" customHeight="true" outlineLevel="0" collapsed="false">
      <c r="A12" s="34" t="s">
        <v>658</v>
      </c>
      <c r="B12" s="241"/>
      <c r="C12" s="242"/>
    </row>
    <row r="13" customFormat="false" ht="15" hidden="false" customHeight="true" outlineLevel="0" collapsed="false">
      <c r="A13" s="17" t="s">
        <v>659</v>
      </c>
      <c r="B13" s="18" t="s">
        <v>651</v>
      </c>
      <c r="C13" s="19" t="s">
        <v>660</v>
      </c>
    </row>
    <row r="14" customFormat="false" ht="15" hidden="false" customHeight="true" outlineLevel="0" collapsed="false">
      <c r="A14" s="17" t="s">
        <v>661</v>
      </c>
      <c r="B14" s="18" t="s">
        <v>662</v>
      </c>
      <c r="C14" s="19" t="s">
        <v>663</v>
      </c>
    </row>
    <row r="15" customFormat="false" ht="15" hidden="false" customHeight="true" outlineLevel="0" collapsed="false">
      <c r="A15" s="17" t="s">
        <v>664</v>
      </c>
      <c r="B15" s="18" t="s">
        <v>662</v>
      </c>
      <c r="C15" s="19" t="s">
        <v>665</v>
      </c>
    </row>
    <row r="17" customFormat="false" ht="15" hidden="false" customHeight="true" outlineLevel="0" collapsed="false">
      <c r="A17" s="34" t="s">
        <v>666</v>
      </c>
      <c r="B17" s="35"/>
      <c r="C17" s="35"/>
    </row>
    <row r="18" customFormat="false" ht="15" hidden="false" customHeight="true" outlineLevel="0" collapsed="false">
      <c r="A18" s="17"/>
      <c r="B18" s="46"/>
    </row>
    <row r="19" customFormat="false" ht="15" hidden="false" customHeight="true" outlineLevel="0" collapsed="false">
      <c r="A19" s="41" t="s">
        <v>667</v>
      </c>
      <c r="B19" s="243" t="s">
        <v>668</v>
      </c>
      <c r="C19" s="41" t="s">
        <v>669</v>
      </c>
      <c r="D19" s="41" t="s">
        <v>646</v>
      </c>
    </row>
    <row r="20" customFormat="false" ht="15" hidden="false" customHeight="true" outlineLevel="0" collapsed="false">
      <c r="A20" s="17"/>
      <c r="B20" s="244"/>
      <c r="C20" s="245"/>
      <c r="D20" s="9"/>
    </row>
    <row r="21" customFormat="false" ht="15" hidden="false" customHeight="true" outlineLevel="0" collapsed="false">
      <c r="A21" s="17" t="s">
        <v>532</v>
      </c>
      <c r="B21" s="244" t="n">
        <f aca="false">_Engine_R50!B252</f>
        <v>2.9981272663194</v>
      </c>
      <c r="C21" s="245" t="n">
        <f aca="false">(_Engine_R50!B250 - MAX(0,_Engine_R50!B250-150)*0.374)/150</f>
        <v>2.25082766871594</v>
      </c>
      <c r="D21" s="9" t="s">
        <v>670</v>
      </c>
    </row>
    <row r="22" customFormat="false" ht="15" hidden="false" customHeight="true" outlineLevel="0" collapsed="false">
      <c r="A22" s="17"/>
      <c r="B22" s="244"/>
      <c r="C22" s="245"/>
      <c r="D22" s="9"/>
    </row>
    <row r="23" customFormat="false" ht="15" hidden="false" customHeight="true" outlineLevel="0" collapsed="false">
      <c r="A23" s="17"/>
      <c r="B23" s="23"/>
      <c r="C23" s="19"/>
    </row>
    <row r="24" customFormat="false" ht="15" hidden="false" customHeight="true" outlineLevel="0" collapsed="false">
      <c r="A24" s="9" t="s">
        <v>671</v>
      </c>
    </row>
    <row r="25" customFormat="false" ht="15" hidden="false" customHeight="true" outlineLevel="0" collapsed="false">
      <c r="A25" s="9" t="s">
        <v>672</v>
      </c>
    </row>
    <row r="26" customFormat="false" ht="15" hidden="false" customHeight="true" outlineLevel="0" collapsed="false">
      <c r="A26" s="5" t="s">
        <v>673</v>
      </c>
    </row>
    <row r="27" customFormat="false" ht="15" hidden="false" customHeight="true" outlineLevel="0" collapsed="false">
      <c r="A27" s="9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4"/>
  </cols>
  <sheetData>
    <row r="1" customFormat="false" ht="15.75" hidden="false" customHeight="true" outlineLevel="0" collapsed="false">
      <c r="A1" s="225" t="s">
        <v>675</v>
      </c>
      <c r="B1" s="3"/>
      <c r="C1" s="3"/>
      <c r="D1" s="3"/>
      <c r="E1" s="3"/>
    </row>
    <row r="3" customFormat="false" ht="15" hidden="false" customHeight="true" outlineLevel="0" collapsed="false">
      <c r="A3" s="21" t="s">
        <v>676</v>
      </c>
      <c r="B3" s="3"/>
      <c r="C3" s="3"/>
      <c r="D3" s="3"/>
      <c r="F3" s="3"/>
    </row>
    <row r="4" customFormat="false" ht="15" hidden="false" customHeight="true" outlineLevel="0" collapsed="false">
      <c r="A4" s="43" t="s">
        <v>677</v>
      </c>
      <c r="B4" s="43" t="s">
        <v>678</v>
      </c>
      <c r="C4" s="43" t="s">
        <v>679</v>
      </c>
      <c r="D4" s="43" t="s">
        <v>680</v>
      </c>
      <c r="E4" s="98"/>
    </row>
    <row r="5" customFormat="false" ht="15" hidden="false" customHeight="true" outlineLevel="0" collapsed="false">
      <c r="A5" s="18" t="s">
        <v>681</v>
      </c>
      <c r="B5" s="17" t="s">
        <v>682</v>
      </c>
      <c r="C5" s="45" t="s">
        <v>683</v>
      </c>
      <c r="D5" s="114" t="s">
        <v>684</v>
      </c>
      <c r="E5" s="17"/>
    </row>
    <row r="6" customFormat="false" ht="15" hidden="false" customHeight="true" outlineLevel="0" collapsed="false">
      <c r="A6" s="18" t="s">
        <v>685</v>
      </c>
      <c r="B6" s="17" t="s">
        <v>686</v>
      </c>
      <c r="C6" s="45" t="s">
        <v>683</v>
      </c>
      <c r="D6" s="114" t="s">
        <v>684</v>
      </c>
      <c r="E6" s="17"/>
    </row>
    <row r="7" customFormat="false" ht="15" hidden="false" customHeight="true" outlineLevel="0" collapsed="false">
      <c r="A7" s="18" t="s">
        <v>687</v>
      </c>
      <c r="B7" s="17" t="s">
        <v>688</v>
      </c>
      <c r="C7" s="104" t="s">
        <v>689</v>
      </c>
      <c r="D7" s="104" t="s">
        <v>690</v>
      </c>
    </row>
    <row r="8" customFormat="false" ht="15" hidden="false" customHeight="true" outlineLevel="0" collapsed="false">
      <c r="A8" s="148"/>
      <c r="F8" s="3"/>
    </row>
    <row r="9" customFormat="false" ht="15" hidden="false" customHeight="true" outlineLevel="0" collapsed="false">
      <c r="A9" s="136" t="s">
        <v>691</v>
      </c>
      <c r="B9" s="43"/>
      <c r="C9" s="43"/>
      <c r="D9" s="43"/>
      <c r="E9" s="98"/>
    </row>
    <row r="10" customFormat="false" ht="15" hidden="false" customHeight="true" outlineLevel="0" collapsed="false">
      <c r="A10" s="43" t="s">
        <v>191</v>
      </c>
      <c r="B10" s="43" t="s">
        <v>692</v>
      </c>
      <c r="C10" s="43" t="s">
        <v>693</v>
      </c>
      <c r="D10" s="43" t="s">
        <v>694</v>
      </c>
    </row>
    <row r="11" customFormat="false" ht="15" hidden="false" customHeight="true" outlineLevel="0" collapsed="false">
      <c r="A11" s="104" t="s">
        <v>695</v>
      </c>
      <c r="B11" s="45" t="n">
        <f aca="false">_Engine_R50!$B$254*5</f>
        <v>11.8367044388915</v>
      </c>
      <c r="C11" s="45" t="n">
        <f aca="false">_Engine_R50!$B$252*5</f>
        <v>14.990636331597</v>
      </c>
      <c r="D11" s="151" t="n">
        <f aca="false">_Engine_R50!$B$252</f>
        <v>2.9981272663194</v>
      </c>
    </row>
    <row r="12" customFormat="false" ht="15" hidden="false" customHeight="true" outlineLevel="0" collapsed="false">
      <c r="A12" s="104" t="s">
        <v>696</v>
      </c>
      <c r="B12" s="45" t="n">
        <f aca="false">_Engine_R50!$B$254*10</f>
        <v>23.673408877783</v>
      </c>
      <c r="C12" s="45" t="n">
        <f aca="false">_Engine_R50!$B$252*10</f>
        <v>29.981272663194</v>
      </c>
      <c r="D12" s="151" t="n">
        <f aca="false">_Engine_R50!$B$252</f>
        <v>2.9981272663194</v>
      </c>
    </row>
    <row r="13" customFormat="false" ht="15" hidden="false" customHeight="true" outlineLevel="0" collapsed="false">
      <c r="A13" s="104" t="s">
        <v>697</v>
      </c>
      <c r="B13" s="45" t="n">
        <f aca="false">_Engine_R50!$B$254*15</f>
        <v>35.5101133166746</v>
      </c>
      <c r="C13" s="45" t="n">
        <f aca="false">_Engine_R50!$B$252*15</f>
        <v>44.9719089947909</v>
      </c>
      <c r="D13" s="151" t="n">
        <f aca="false">_Engine_R50!$B$252</f>
        <v>2.9981272663194</v>
      </c>
    </row>
    <row r="14" customFormat="false" ht="15" hidden="false" customHeight="true" outlineLevel="0" collapsed="false">
      <c r="A14" s="104" t="s">
        <v>698</v>
      </c>
      <c r="B14" s="45" t="n">
        <f aca="false">_Engine_R50!$B$254*20</f>
        <v>47.3468177555661</v>
      </c>
      <c r="C14" s="45" t="n">
        <f aca="false">_Engine_R50!$B$252*20</f>
        <v>59.9625453263879</v>
      </c>
      <c r="D14" s="151" t="n">
        <f aca="false">_Engine_R50!$B$252</f>
        <v>2.9981272663194</v>
      </c>
    </row>
    <row r="15" customFormat="false" ht="15" hidden="false" customHeight="true" outlineLevel="0" collapsed="false">
      <c r="A15" s="104" t="s">
        <v>699</v>
      </c>
      <c r="B15" s="45" t="n">
        <f aca="false">_Engine_R50!$B$254*25</f>
        <v>59.1835221944576</v>
      </c>
      <c r="C15" s="45" t="n">
        <f aca="false">_Engine_R50!$B$252*25</f>
        <v>74.9531816579849</v>
      </c>
      <c r="D15" s="151" t="n">
        <f aca="false">_Engine_R50!$B$252</f>
        <v>2.9981272663194</v>
      </c>
    </row>
    <row r="16" customFormat="false" ht="15" hidden="false" customHeight="true" outlineLevel="0" collapsed="false">
      <c r="A16" s="148"/>
      <c r="F16" s="3"/>
    </row>
    <row r="17" customFormat="false" ht="15" hidden="false" customHeight="true" outlineLevel="0" collapsed="false">
      <c r="A17" s="98"/>
      <c r="B17" s="98"/>
      <c r="C17" s="98"/>
      <c r="D17" s="98"/>
      <c r="E17" s="98"/>
    </row>
    <row r="18" customFormat="false" ht="15" hidden="false" customHeight="true" outlineLevel="0" collapsed="false">
      <c r="A18" s="246"/>
      <c r="B18" s="114"/>
      <c r="C18" s="45"/>
      <c r="D18" s="45"/>
      <c r="E18" s="151"/>
    </row>
    <row r="19" customFormat="false" ht="15" hidden="false" customHeight="true" outlineLevel="0" collapsed="false">
      <c r="A19" s="246"/>
      <c r="B19" s="114"/>
      <c r="C19" s="45"/>
      <c r="D19" s="45"/>
      <c r="E19" s="151"/>
    </row>
    <row r="20" customFormat="false" ht="15" hidden="false" customHeight="true" outlineLevel="0" collapsed="false">
      <c r="A20" s="246"/>
      <c r="B20" s="114"/>
      <c r="C20" s="45"/>
      <c r="D20" s="45"/>
      <c r="E20" s="151"/>
    </row>
    <row r="21" customFormat="false" ht="15" hidden="false" customHeight="true" outlineLevel="0" collapsed="false">
      <c r="A21" s="246"/>
      <c r="B21" s="114"/>
      <c r="C21" s="45"/>
      <c r="D21" s="45"/>
      <c r="E21" s="151"/>
    </row>
    <row r="22" customFormat="false" ht="15" hidden="false" customHeight="true" outlineLevel="0" collapsed="false">
      <c r="A22" s="246"/>
      <c r="B22" s="114"/>
      <c r="C22" s="45"/>
      <c r="D22" s="45"/>
      <c r="E22" s="151"/>
    </row>
    <row r="23" customFormat="false" ht="15" hidden="false" customHeight="true" outlineLevel="0" collapsed="false">
      <c r="A23" s="246"/>
      <c r="B23" s="114"/>
      <c r="C23" s="45"/>
      <c r="D23" s="45"/>
      <c r="E23" s="151"/>
    </row>
    <row r="25" customFormat="false" ht="15" hidden="false" customHeight="true" outlineLevel="0" collapsed="false">
      <c r="A25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41" t="s">
        <v>700</v>
      </c>
      <c r="B1" s="86"/>
      <c r="C1" s="86"/>
    </row>
    <row r="2" customFormat="false" ht="15" hidden="false" customHeight="true" outlineLevel="0" collapsed="false">
      <c r="A2" s="9" t="s">
        <v>701</v>
      </c>
      <c r="B2" s="86"/>
      <c r="C2" s="86"/>
    </row>
    <row r="3" customFormat="false" ht="15" hidden="false" customHeight="true" outlineLevel="0" collapsed="false">
      <c r="A3" s="86"/>
      <c r="B3" s="86"/>
      <c r="C3" s="86"/>
    </row>
    <row r="4" customFormat="false" ht="15" hidden="false" customHeight="true" outlineLevel="0" collapsed="false">
      <c r="A4" s="34" t="s">
        <v>702</v>
      </c>
      <c r="B4" s="247"/>
      <c r="C4" s="216"/>
    </row>
    <row r="5" customFormat="false" ht="15" hidden="false" customHeight="true" outlineLevel="0" collapsed="false">
      <c r="A5" s="86" t="s">
        <v>703</v>
      </c>
      <c r="B5" s="87" t="n">
        <f aca="false">'1. Press Assumptions'!$B$5/1000000</f>
        <v>150</v>
      </c>
      <c r="C5" s="86"/>
    </row>
    <row r="6" customFormat="false" ht="15" hidden="false" customHeight="true" outlineLevel="0" collapsed="false">
      <c r="A6" s="248" t="s">
        <v>704</v>
      </c>
      <c r="B6" s="249" t="n">
        <f aca="false">B5</f>
        <v>150</v>
      </c>
      <c r="C6" s="250"/>
    </row>
    <row r="7" customFormat="false" ht="15" hidden="false" customHeight="true" outlineLevel="0" collapsed="false">
      <c r="A7" s="86"/>
      <c r="B7" s="88"/>
      <c r="C7" s="86"/>
    </row>
    <row r="8" customFormat="false" ht="15" hidden="false" customHeight="true" outlineLevel="0" collapsed="false">
      <c r="A8" s="34" t="s">
        <v>705</v>
      </c>
      <c r="B8" s="251"/>
      <c r="C8" s="216"/>
    </row>
    <row r="9" customFormat="false" ht="15" hidden="false" customHeight="true" outlineLevel="0" collapsed="false">
      <c r="A9" s="250" t="s">
        <v>706</v>
      </c>
      <c r="B9" s="252" t="n">
        <f aca="false">SUMPRODUCT('1. Press Assumptions'!$D$89:$D$92,'1. Press Assumptions'!$E$89:$E$92)</f>
        <v>150</v>
      </c>
      <c r="C9" s="86" t="s">
        <v>707</v>
      </c>
    </row>
    <row r="10" customFormat="false" ht="15" hidden="false" customHeight="true" outlineLevel="0" collapsed="false">
      <c r="A10" s="86" t="s">
        <v>708</v>
      </c>
      <c r="B10" s="87" t="n">
        <f aca="false">-SUM('1. Press Assumptions'!$D$89:$D$92)*0.1154*0.5</f>
        <v>-5.77</v>
      </c>
      <c r="C10" s="86" t="s">
        <v>709</v>
      </c>
    </row>
    <row r="11" customFormat="false" ht="15" hidden="false" customHeight="true" outlineLevel="0" collapsed="false">
      <c r="A11" s="220" t="s">
        <v>710</v>
      </c>
      <c r="B11" s="87" t="n">
        <f aca="false">B9+B10</f>
        <v>144.23</v>
      </c>
      <c r="C11" s="86"/>
    </row>
    <row r="12" customFormat="false" ht="15" hidden="false" customHeight="true" outlineLevel="0" collapsed="false">
      <c r="A12" s="86" t="s">
        <v>711</v>
      </c>
      <c r="B12" s="87" t="n">
        <v>0</v>
      </c>
      <c r="C12" s="86"/>
    </row>
    <row r="13" customFormat="false" ht="15" hidden="false" customHeight="true" outlineLevel="0" collapsed="false">
      <c r="A13" s="86" t="s">
        <v>712</v>
      </c>
      <c r="B13" s="87" t="n">
        <v>5</v>
      </c>
      <c r="C13" s="5" t="s">
        <v>713</v>
      </c>
    </row>
    <row r="14" customFormat="false" ht="15" hidden="false" customHeight="true" outlineLevel="0" collapsed="false">
      <c r="A14" s="86" t="s">
        <v>714</v>
      </c>
      <c r="B14" s="87" t="n">
        <v>0.5</v>
      </c>
      <c r="C14" s="5" t="s">
        <v>715</v>
      </c>
    </row>
    <row r="15" customFormat="false" ht="15" hidden="false" customHeight="true" outlineLevel="0" collapsed="false">
      <c r="A15" s="220" t="s">
        <v>716</v>
      </c>
      <c r="B15" s="236" t="n">
        <f aca="false">B11+B12+B13+B14</f>
        <v>149.73</v>
      </c>
      <c r="C15" s="86"/>
    </row>
    <row r="16" customFormat="false" ht="15" hidden="false" customHeight="true" outlineLevel="0" collapsed="false">
      <c r="A16" s="86"/>
      <c r="B16" s="87"/>
      <c r="C16" s="86"/>
    </row>
    <row r="17" customFormat="false" ht="15" hidden="false" customHeight="true" outlineLevel="0" collapsed="false">
      <c r="A17" s="220" t="s">
        <v>717</v>
      </c>
      <c r="B17" s="234" t="n">
        <f aca="false">B6-B15</f>
        <v>0.27000000000001</v>
      </c>
      <c r="C17" s="5" t="s">
        <v>718</v>
      </c>
    </row>
    <row r="18" customFormat="false" ht="15" hidden="false" customHeight="true" outlineLevel="0" collapsed="false">
      <c r="A18" s="9" t="s">
        <v>719</v>
      </c>
      <c r="B18" s="87"/>
      <c r="C18" s="86"/>
    </row>
    <row r="19" customFormat="false" ht="15" hidden="false" customHeight="true" outlineLevel="0" collapsed="false">
      <c r="A19" s="9" t="s">
        <v>720</v>
      </c>
      <c r="B19" s="87"/>
      <c r="C19" s="86"/>
    </row>
    <row r="20" customFormat="false" ht="15" hidden="false" customHeight="true" outlineLevel="0" collapsed="false">
      <c r="A20" s="220" t="s">
        <v>561</v>
      </c>
      <c r="B20" s="86"/>
      <c r="C20" s="86"/>
    </row>
    <row r="21" customFormat="false" ht="15" hidden="false" customHeight="true" outlineLevel="0" collapsed="false">
      <c r="A21" s="9" t="s">
        <v>721</v>
      </c>
      <c r="B21" s="86"/>
      <c r="C21" s="86"/>
    </row>
    <row r="22" customFormat="false" ht="15" hidden="false" customHeight="true" outlineLevel="0" collapsed="false">
      <c r="A22" s="253" t="s">
        <v>722</v>
      </c>
      <c r="B22" s="254"/>
      <c r="C22" s="250"/>
    </row>
    <row r="23" customFormat="false" ht="15" hidden="false" customHeight="true" outlineLevel="0" collapsed="false">
      <c r="A23" s="9"/>
      <c r="B23" s="86"/>
      <c r="C23" s="86"/>
    </row>
    <row r="24" customFormat="false" ht="15" hidden="false" customHeight="true" outlineLevel="0" collapsed="false">
      <c r="A24" s="5"/>
      <c r="B24" s="87"/>
      <c r="C24" s="86"/>
    </row>
    <row r="25" customFormat="false" ht="15" hidden="false" customHeight="true" outlineLevel="0" collapsed="false">
      <c r="A25" s="5"/>
      <c r="B25" s="86"/>
      <c r="C25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225" t="s">
        <v>723</v>
      </c>
      <c r="B1" s="3"/>
      <c r="C1" s="3"/>
      <c r="D1" s="3"/>
      <c r="E1" s="3"/>
      <c r="F1" s="3"/>
      <c r="G1" s="3"/>
      <c r="H1" s="3"/>
      <c r="I1" s="155"/>
    </row>
    <row r="2" customFormat="false" ht="15" hidden="false" customHeight="true" outlineLevel="0" collapsed="false">
      <c r="A2" s="9" t="s">
        <v>724</v>
      </c>
    </row>
    <row r="3" customFormat="false" ht="15" hidden="false" customHeight="true" outlineLevel="0" collapsed="false">
      <c r="A3" s="43" t="s">
        <v>725</v>
      </c>
      <c r="B3" s="43" t="s">
        <v>726</v>
      </c>
      <c r="C3" s="43" t="s">
        <v>727</v>
      </c>
      <c r="D3" s="43" t="s">
        <v>542</v>
      </c>
      <c r="E3" s="43" t="s">
        <v>728</v>
      </c>
      <c r="F3" s="43" t="s">
        <v>729</v>
      </c>
    </row>
    <row r="4" customFormat="false" ht="15" hidden="false" customHeight="true" outlineLevel="0" collapsed="false">
      <c r="A4" s="255" t="s">
        <v>730</v>
      </c>
      <c r="B4" s="256" t="n">
        <f aca="false">SUM(_Engine_R50!V31:V33)</f>
        <v>-0.864317475</v>
      </c>
      <c r="C4" s="256" t="n">
        <f aca="false">IF(_Engine_R50!P215=0, 0, _Engine_R50!J233*B4/_Engine_R50!P215)</f>
        <v>0</v>
      </c>
      <c r="D4" s="256" t="n">
        <f aca="false">IF(_Engine_R50!P215=0, 0, _Engine_R50!K233*B4/_Engine_R50!P215)</f>
        <v>0</v>
      </c>
      <c r="E4" s="256" t="n">
        <f aca="false">C4</f>
        <v>0</v>
      </c>
      <c r="F4" s="256" t="n">
        <v>0</v>
      </c>
    </row>
    <row r="5" customFormat="false" ht="15" hidden="false" customHeight="true" outlineLevel="0" collapsed="false">
      <c r="A5" s="17" t="s">
        <v>731</v>
      </c>
      <c r="B5" s="45" t="n">
        <f aca="false">SUM(_Engine_R50!V34:V36)</f>
        <v>1.11215245608991</v>
      </c>
      <c r="C5" s="45" t="n">
        <f aca="false">IF(_Engine_R50!P215=0, 0, _Engine_R50!J233*B5/_Engine_R50!P215)</f>
        <v>-0</v>
      </c>
      <c r="D5" s="45" t="n">
        <f aca="false">IF(_Engine_R50!P215=0, 0, _Engine_R50!K233*B5/_Engine_R50!P215)</f>
        <v>-0</v>
      </c>
      <c r="E5" s="45" t="n">
        <f aca="false">E4+C5</f>
        <v>0</v>
      </c>
      <c r="F5" s="45" t="n">
        <v>0</v>
      </c>
    </row>
    <row r="6" customFormat="false" ht="15" hidden="false" customHeight="true" outlineLevel="0" collapsed="false">
      <c r="A6" s="17" t="s">
        <v>732</v>
      </c>
      <c r="B6" s="45" t="n">
        <f aca="false">SUM(_Engine_R50!V37:V39)</f>
        <v>3.86012224052321</v>
      </c>
      <c r="C6" s="45" t="n">
        <f aca="false">IF(_Engine_R50!P215=0, 0, _Engine_R50!J233*B6/_Engine_R50!P215)</f>
        <v>-0</v>
      </c>
      <c r="D6" s="45" t="n">
        <f aca="false">IF(_Engine_R50!P215=0, 0, _Engine_R50!K233*B6/_Engine_R50!P215)</f>
        <v>-0</v>
      </c>
      <c r="E6" s="45" t="n">
        <f aca="false">E5+C6</f>
        <v>0</v>
      </c>
      <c r="F6" s="45" t="n">
        <v>0</v>
      </c>
    </row>
    <row r="7" customFormat="false" ht="15" hidden="false" customHeight="true" outlineLevel="0" collapsed="false">
      <c r="A7" s="17" t="s">
        <v>733</v>
      </c>
      <c r="B7" s="45" t="n">
        <f aca="false">SUM(_Engine_R50!V40:V42)</f>
        <v>6.77387617789244</v>
      </c>
      <c r="C7" s="45" t="n">
        <f aca="false">IF(_Engine_R50!P215=0, 0, _Engine_R50!J233*B7/_Engine_R50!P215)</f>
        <v>-0</v>
      </c>
      <c r="D7" s="45" t="n">
        <f aca="false">IF(_Engine_R50!P215=0, 0, _Engine_R50!K233*B7/_Engine_R50!P215)</f>
        <v>-0</v>
      </c>
      <c r="E7" s="45" t="n">
        <f aca="false">E6+C7</f>
        <v>0</v>
      </c>
      <c r="F7" s="45" t="n">
        <v>0</v>
      </c>
    </row>
    <row r="8" customFormat="false" ht="15" hidden="false" customHeight="true" outlineLevel="0" collapsed="false">
      <c r="A8" s="255" t="s">
        <v>734</v>
      </c>
      <c r="B8" s="256" t="n">
        <f aca="false">SUM(_Engine_R50!V43:V45)</f>
        <v>8.7752211184472</v>
      </c>
      <c r="C8" s="256" t="n">
        <f aca="false">IF(_Engine_R50!P216=0, 0, _Engine_R50!J234*B8/_Engine_R50!P216)</f>
        <v>8.7752211184472</v>
      </c>
      <c r="D8" s="256" t="n">
        <f aca="false">IF(_Engine_R50!P216=0, 0, _Engine_R50!K234*B8/_Engine_R50!P216)</f>
        <v>0</v>
      </c>
      <c r="E8" s="256" t="n">
        <f aca="false">E7+C8</f>
        <v>8.7752211184472</v>
      </c>
      <c r="F8" s="256" t="n">
        <v>0</v>
      </c>
    </row>
    <row r="9" customFormat="false" ht="15" hidden="false" customHeight="true" outlineLevel="0" collapsed="false">
      <c r="A9" s="17" t="s">
        <v>735</v>
      </c>
      <c r="B9" s="45" t="n">
        <f aca="false">SUM(_Engine_R50!V46:V48)</f>
        <v>12.0728310469051</v>
      </c>
      <c r="C9" s="45" t="n">
        <f aca="false">IF(_Engine_R50!P216=0, 0, _Engine_R50!J234*B9/_Engine_R50!P216)</f>
        <v>12.0728310469051</v>
      </c>
      <c r="D9" s="45" t="n">
        <f aca="false">IF(_Engine_R50!P216=0, 0, _Engine_R50!K234*B9/_Engine_R50!P216)</f>
        <v>0</v>
      </c>
      <c r="E9" s="45" t="n">
        <f aca="false">E8+C9</f>
        <v>20.8480521653523</v>
      </c>
      <c r="F9" s="45" t="n">
        <v>0</v>
      </c>
    </row>
    <row r="10" customFormat="false" ht="15" hidden="false" customHeight="true" outlineLevel="0" collapsed="false">
      <c r="A10" s="17" t="s">
        <v>736</v>
      </c>
      <c r="B10" s="45" t="n">
        <f aca="false">SUM(_Engine_R50!V49:V51)</f>
        <v>13.7207324988532</v>
      </c>
      <c r="C10" s="45" t="n">
        <f aca="false">IF(_Engine_R50!P216=0, 0, _Engine_R50!J234*B10/_Engine_R50!P216)</f>
        <v>13.7207324988532</v>
      </c>
      <c r="D10" s="45" t="n">
        <f aca="false">IF(_Engine_R50!P216=0, 0, _Engine_R50!K234*B10/_Engine_R50!P216)</f>
        <v>0</v>
      </c>
      <c r="E10" s="45" t="n">
        <f aca="false">E9+C10</f>
        <v>34.5687846642055</v>
      </c>
      <c r="F10" s="45" t="n">
        <v>0</v>
      </c>
    </row>
    <row r="11" customFormat="false" ht="15" hidden="false" customHeight="true" outlineLevel="0" collapsed="false">
      <c r="A11" s="17" t="s">
        <v>737</v>
      </c>
      <c r="B11" s="45" t="n">
        <f aca="false">SUM(_Engine_R50!V52:V54)</f>
        <v>14.1715872751286</v>
      </c>
      <c r="C11" s="45" t="n">
        <f aca="false">IF(_Engine_R50!P216=0, 0, _Engine_R50!J234*B11/_Engine_R50!P216)</f>
        <v>14.1715872751286</v>
      </c>
      <c r="D11" s="45" t="n">
        <f aca="false">IF(_Engine_R50!P216=0, 0, _Engine_R50!K234*B11/_Engine_R50!P216)</f>
        <v>0</v>
      </c>
      <c r="E11" s="45" t="n">
        <f aca="false">E10+C11</f>
        <v>48.7403719393341</v>
      </c>
      <c r="F11" s="45" t="n">
        <v>0</v>
      </c>
    </row>
    <row r="12" customFormat="false" ht="15" hidden="false" customHeight="true" outlineLevel="0" collapsed="false">
      <c r="A12" s="255" t="s">
        <v>738</v>
      </c>
      <c r="B12" s="256" t="n">
        <f aca="false">SUM(_Engine_R50!V55:V57)</f>
        <v>14.1094026185822</v>
      </c>
      <c r="C12" s="256" t="n">
        <f aca="false">IF(_Engine_R50!P217=0, 0, _Engine_R50!J235*B12/_Engine_R50!P217)</f>
        <v>14.1094026185822</v>
      </c>
      <c r="D12" s="256" t="n">
        <f aca="false">IF(_Engine_R50!P217=0, 0, _Engine_R50!K235*B12/_Engine_R50!P217)</f>
        <v>0</v>
      </c>
      <c r="E12" s="256" t="n">
        <f aca="false">E11+C12</f>
        <v>62.8497745579163</v>
      </c>
      <c r="F12" s="256" t="n">
        <v>0</v>
      </c>
    </row>
    <row r="13" customFormat="false" ht="15" hidden="false" customHeight="true" outlineLevel="0" collapsed="false">
      <c r="A13" s="17" t="s">
        <v>739</v>
      </c>
      <c r="B13" s="45" t="n">
        <f aca="false">SUM(_Engine_R50!V58:V60)</f>
        <v>13.9970874111152</v>
      </c>
      <c r="C13" s="45" t="n">
        <f aca="false">IF(_Engine_R50!P217=0, 0, _Engine_R50!J235*B13/_Engine_R50!P217)</f>
        <v>13.9970874111152</v>
      </c>
      <c r="D13" s="45" t="n">
        <f aca="false">IF(_Engine_R50!P217=0, 0, _Engine_R50!K235*B13/_Engine_R50!P217)</f>
        <v>0</v>
      </c>
      <c r="E13" s="45" t="n">
        <f aca="false">E12+C13</f>
        <v>76.8468619690315</v>
      </c>
      <c r="F13" s="45" t="n">
        <v>0</v>
      </c>
    </row>
    <row r="14" customFormat="false" ht="15" hidden="false" customHeight="true" outlineLevel="0" collapsed="false">
      <c r="A14" s="17" t="s">
        <v>740</v>
      </c>
      <c r="B14" s="45" t="n">
        <f aca="false">SUM(_Engine_R50!V61:V63)</f>
        <v>14.0421640975246</v>
      </c>
      <c r="C14" s="45" t="n">
        <f aca="false">IF(_Engine_R50!P217=0, 0, _Engine_R50!J235*B14/_Engine_R50!P217)</f>
        <v>14.0421640975246</v>
      </c>
      <c r="D14" s="45" t="n">
        <f aca="false">IF(_Engine_R50!P217=0, 0, _Engine_R50!K235*B14/_Engine_R50!P217)</f>
        <v>0</v>
      </c>
      <c r="E14" s="45" t="n">
        <f aca="false">E13+C14</f>
        <v>90.8890260665561</v>
      </c>
      <c r="F14" s="45" t="n">
        <v>0</v>
      </c>
    </row>
    <row r="15" customFormat="false" ht="15" hidden="false" customHeight="true" outlineLevel="0" collapsed="false">
      <c r="A15" s="17" t="s">
        <v>741</v>
      </c>
      <c r="B15" s="45" t="n">
        <f aca="false">SUM(_Engine_R50!V64:V66)</f>
        <v>15.2659450395439</v>
      </c>
      <c r="C15" s="45" t="n">
        <f aca="false">IF(_Engine_R50!P217=0, 0, _Engine_R50!J235*B15/_Engine_R50!P217)</f>
        <v>15.2659450395439</v>
      </c>
      <c r="D15" s="45" t="n">
        <f aca="false">IF(_Engine_R50!P217=0, 0, _Engine_R50!K235*B15/_Engine_R50!P217)</f>
        <v>0</v>
      </c>
      <c r="E15" s="45" t="n">
        <f aca="false">E14+C15</f>
        <v>106.1549711061</v>
      </c>
      <c r="F15" s="45" t="n">
        <v>0</v>
      </c>
    </row>
    <row r="16" customFormat="false" ht="15" hidden="false" customHeight="true" outlineLevel="0" collapsed="false">
      <c r="A16" s="255" t="s">
        <v>742</v>
      </c>
      <c r="B16" s="256" t="n">
        <f aca="false">SUM(_Engine_R50!V67:V69)</f>
        <v>16.0573956646059</v>
      </c>
      <c r="C16" s="256" t="n">
        <f aca="false">IF(_Engine_R50!P218=0, 0, _Engine_R50!J236*B16/_Engine_R50!P218)</f>
        <v>16.0573956646059</v>
      </c>
      <c r="D16" s="256" t="n">
        <f aca="false">IF(_Engine_R50!P218=0, 0, _Engine_R50!K236*B16/_Engine_R50!P218)</f>
        <v>0</v>
      </c>
      <c r="E16" s="256" t="n">
        <f aca="false">E15+C16</f>
        <v>122.212366770706</v>
      </c>
      <c r="F16" s="256" t="n">
        <v>0</v>
      </c>
    </row>
    <row r="17" customFormat="false" ht="15" hidden="false" customHeight="true" outlineLevel="0" collapsed="false">
      <c r="A17" s="17" t="s">
        <v>743</v>
      </c>
      <c r="B17" s="45" t="n">
        <f aca="false">SUM(_Engine_R50!V70:V72)</f>
        <v>15.7315722448023</v>
      </c>
      <c r="C17" s="45" t="n">
        <f aca="false">IF(_Engine_R50!P218=0, 0, _Engine_R50!J236*B17/_Engine_R50!P218)</f>
        <v>15.7315722448023</v>
      </c>
      <c r="D17" s="45" t="n">
        <f aca="false">IF(_Engine_R50!P218=0, 0, _Engine_R50!K236*B17/_Engine_R50!P218)</f>
        <v>0</v>
      </c>
      <c r="E17" s="45" t="n">
        <f aca="false">E16+C17</f>
        <v>137.943939015508</v>
      </c>
      <c r="F17" s="45" t="n">
        <v>0</v>
      </c>
    </row>
    <row r="18" customFormat="false" ht="15" hidden="false" customHeight="true" outlineLevel="0" collapsed="false">
      <c r="A18" s="17" t="s">
        <v>744</v>
      </c>
      <c r="B18" s="45" t="n">
        <f aca="false">SUM(_Engine_R50!V73:V75)</f>
        <v>15.3819950088813</v>
      </c>
      <c r="C18" s="45" t="n">
        <f aca="false">IF(_Engine_R50!P218=0, 0, _Engine_R50!J236*B18/_Engine_R50!P218)</f>
        <v>15.3819950088813</v>
      </c>
      <c r="D18" s="45" t="n">
        <f aca="false">IF(_Engine_R50!P218=0, 0, _Engine_R50!K236*B18/_Engine_R50!P218)</f>
        <v>0</v>
      </c>
      <c r="E18" s="45" t="n">
        <f aca="false">E17+C18</f>
        <v>153.325934024389</v>
      </c>
      <c r="F18" s="45" t="n">
        <v>0</v>
      </c>
    </row>
    <row r="19" customFormat="false" ht="15" hidden="false" customHeight="true" outlineLevel="0" collapsed="false">
      <c r="A19" s="17" t="s">
        <v>745</v>
      </c>
      <c r="B19" s="45" t="n">
        <f aca="false">SUM(_Engine_R50!V76:V78)</f>
        <v>15.0470196674796</v>
      </c>
      <c r="C19" s="45" t="n">
        <f aca="false">IF(_Engine_R50!P218=0, 0, _Engine_R50!J236*B19/_Engine_R50!P218)</f>
        <v>15.0470196674796</v>
      </c>
      <c r="D19" s="45" t="n">
        <f aca="false">IF(_Engine_R50!P218=0, 0, _Engine_R50!K236*B19/_Engine_R50!P218)</f>
        <v>0</v>
      </c>
      <c r="E19" s="45" t="n">
        <f aca="false">E18+C19</f>
        <v>168.372953691869</v>
      </c>
      <c r="F19" s="45" t="n">
        <v>2.66216127109653</v>
      </c>
    </row>
    <row r="20" customFormat="false" ht="15" hidden="false" customHeight="true" outlineLevel="0" collapsed="false">
      <c r="A20" s="255" t="s">
        <v>746</v>
      </c>
      <c r="B20" s="256" t="n">
        <f aca="false">SUM(_Engine_R50!V79:V81)</f>
        <v>14.726132916727</v>
      </c>
      <c r="C20" s="256" t="n">
        <f aca="false">IF(_Engine_R50!P219=0, 0, _Engine_R50!J237*B20/_Engine_R50!P219)</f>
        <v>14.726132916727</v>
      </c>
      <c r="D20" s="256" t="n">
        <f aca="false">IF(_Engine_R50!P219=0, 0, _Engine_R50!K237*B20/_Engine_R50!P219)</f>
        <v>0</v>
      </c>
      <c r="E20" s="256" t="n">
        <f aca="false">E19+C20</f>
        <v>183.099086608596</v>
      </c>
      <c r="F20" s="256" t="n">
        <v>6.12051111534222</v>
      </c>
    </row>
    <row r="21" customFormat="false" ht="15" hidden="false" customHeight="true" outlineLevel="0" collapsed="false">
      <c r="A21" s="17" t="s">
        <v>747</v>
      </c>
      <c r="B21" s="45" t="n">
        <f aca="false">SUM(_Engine_R50!V82:V84)</f>
        <v>14.4188405652944</v>
      </c>
      <c r="C21" s="45" t="n">
        <f aca="false">IF(_Engine_R50!P219=0, 0, _Engine_R50!J237*B21/_Engine_R50!P219)</f>
        <v>14.4188405652944</v>
      </c>
      <c r="D21" s="45" t="n">
        <f aca="false">IF(_Engine_R50!P219=0, 0, _Engine_R50!K237*B21/_Engine_R50!P219)</f>
        <v>0</v>
      </c>
      <c r="E21" s="45" t="n">
        <f aca="false">E20+C21</f>
        <v>197.51792717389</v>
      </c>
      <c r="F21" s="45" t="n">
        <v>9.49854143591423</v>
      </c>
    </row>
    <row r="22" customFormat="false" ht="15" hidden="false" customHeight="true" outlineLevel="0" collapsed="false">
      <c r="A22" s="17" t="s">
        <v>748</v>
      </c>
      <c r="B22" s="45" t="n">
        <f aca="false">SUM(_Engine_R50!V85:V87)</f>
        <v>14.0857779133047</v>
      </c>
      <c r="C22" s="45" t="n">
        <f aca="false">IF(_Engine_R50!P219=0, 0, _Engine_R50!J237*B22/_Engine_R50!P219)</f>
        <v>14.0857779133047</v>
      </c>
      <c r="D22" s="45" t="n">
        <f aca="false">IF(_Engine_R50!P219=0, 0, _Engine_R50!K237*B22/_Engine_R50!P219)</f>
        <v>0</v>
      </c>
      <c r="E22" s="45" t="n">
        <f aca="false">E21+C22</f>
        <v>211.603705087195</v>
      </c>
      <c r="F22" s="45" t="n">
        <v>12.8002651090692</v>
      </c>
    </row>
    <row r="23" customFormat="false" ht="15" hidden="false" customHeight="true" outlineLevel="0" collapsed="false">
      <c r="A23" s="17" t="s">
        <v>749</v>
      </c>
      <c r="B23" s="45" t="n">
        <f aca="false">SUM(_Engine_R50!V88:V90)</f>
        <v>13.6875979374982</v>
      </c>
      <c r="C23" s="45" t="n">
        <f aca="false">IF(_Engine_R50!P219=0, 0, _Engine_R50!J237*B23/_Engine_R50!P219)</f>
        <v>13.6875979374982</v>
      </c>
      <c r="D23" s="45" t="n">
        <f aca="false">IF(_Engine_R50!P219=0, 0, _Engine_R50!K237*B23/_Engine_R50!P219)</f>
        <v>0</v>
      </c>
      <c r="E23" s="45" t="n">
        <f aca="false">E22+C23</f>
        <v>225.291303024693</v>
      </c>
      <c r="F23" s="45" t="n">
        <v>14.4460455664487</v>
      </c>
    </row>
    <row r="24" customFormat="false" ht="15" hidden="false" customHeight="true" outlineLevel="0" collapsed="false">
      <c r="A24" s="255" t="s">
        <v>750</v>
      </c>
      <c r="B24" s="256" t="n">
        <f aca="false">SUM(_Engine_R50!V91:V93)</f>
        <v>13.3016372815356</v>
      </c>
      <c r="C24" s="256" t="n">
        <f aca="false">IF(_Engine_R50!P220=0, 0, _Engine_R50!J238*B24/_Engine_R50!P220)</f>
        <v>11.4794849463181</v>
      </c>
      <c r="D24" s="256" t="n">
        <f aca="false">IF(_Engine_R50!P220=0, 0, _Engine_R50!K238*B24/_Engine_R50!P220)</f>
        <v>1.82215233521752</v>
      </c>
      <c r="E24" s="256" t="n">
        <f aca="false">E23+C24</f>
        <v>236.770787971011</v>
      </c>
      <c r="F24" s="256" t="n">
        <v>17.606389132049</v>
      </c>
    </row>
    <row r="25" customFormat="false" ht="15" hidden="false" customHeight="true" outlineLevel="0" collapsed="false">
      <c r="A25" s="17" t="s">
        <v>751</v>
      </c>
      <c r="B25" s="45" t="n">
        <f aca="false">SUM(_Engine_R50!V94:V96)</f>
        <v>12.9274711614769</v>
      </c>
      <c r="C25" s="45" t="n">
        <f aca="false">IF(_Engine_R50!P220=0, 0, _Engine_R50!J238*B25/_Engine_R50!P220)</f>
        <v>11.1565747472407</v>
      </c>
      <c r="D25" s="45" t="n">
        <f aca="false">IF(_Engine_R50!P220=0, 0, _Engine_R50!K238*B25/_Engine_R50!P220)</f>
        <v>1.77089641423622</v>
      </c>
      <c r="E25" s="45" t="n">
        <f aca="false">E24+C25</f>
        <v>247.927362718252</v>
      </c>
      <c r="F25" s="45" t="n">
        <v>20.7012822703885</v>
      </c>
    </row>
    <row r="26" customFormat="false" ht="15" hidden="false" customHeight="true" outlineLevel="0" collapsed="false">
      <c r="A26" s="17" t="s">
        <v>752</v>
      </c>
      <c r="B26" s="45" t="n">
        <f aca="false">SUM(_Engine_R50!V97:V99)</f>
        <v>12.5646905187385</v>
      </c>
      <c r="C26" s="45" t="n">
        <f aca="false">IF(_Engine_R50!P220=0, 0, _Engine_R50!J238*B26/_Engine_R50!P220)</f>
        <v>10.8434903622896</v>
      </c>
      <c r="D26" s="45" t="n">
        <f aca="false">IF(_Engine_R50!P220=0, 0, _Engine_R50!K238*B26/_Engine_R50!P220)</f>
        <v>1.72120015644883</v>
      </c>
      <c r="E26" s="45" t="n">
        <f aca="false">E25+C26</f>
        <v>258.770853080542</v>
      </c>
      <c r="F26" s="45" t="n">
        <v>23.7339828542564</v>
      </c>
    </row>
    <row r="27" customFormat="false" ht="15" hidden="false" customHeight="true" outlineLevel="0" collapsed="false">
      <c r="A27" s="17" t="s">
        <v>753</v>
      </c>
      <c r="B27" s="45" t="n">
        <f aca="false">SUM(_Engine_R50!V100:V102)</f>
        <v>12.2129014195381</v>
      </c>
      <c r="C27" s="45" t="n">
        <f aca="false">IF(_Engine_R50!P220=0, 0, _Engine_R50!J238*B27/_Engine_R50!P220)</f>
        <v>10.5398918215179</v>
      </c>
      <c r="D27" s="45" t="n">
        <f aca="false">IF(_Engine_R50!P220=0, 0, _Engine_R50!K238*B27/_Engine_R50!P220)</f>
        <v>1.67300959802023</v>
      </c>
      <c r="E27" s="45" t="n">
        <f aca="false">E26+C27</f>
        <v>269.31074490206</v>
      </c>
      <c r="F27" s="45" t="n">
        <v>25.355094698877</v>
      </c>
    </row>
    <row r="28" customFormat="false" ht="15" hidden="false" customHeight="true" outlineLevel="0" collapsed="false">
      <c r="A28" s="255" t="s">
        <v>754</v>
      </c>
      <c r="B28" s="256" t="n">
        <f aca="false">SUM(_Engine_R50!V103:V105)</f>
        <v>11.871724477655</v>
      </c>
      <c r="C28" s="256" t="n">
        <f aca="false">IF(_Engine_R50!P221=0, 0, _Engine_R50!J239*B28/_Engine_R50!P221)</f>
        <v>9.49737958212396</v>
      </c>
      <c r="D28" s="256" t="n">
        <f aca="false">IF(_Engine_R50!P221=0, 0, _Engine_R50!K239*B28/_Engine_R50!P221)</f>
        <v>2.37434489553099</v>
      </c>
      <c r="E28" s="256" t="n">
        <f aca="false">E27+C28</f>
        <v>278.808124484184</v>
      </c>
      <c r="F28" s="256" t="n">
        <v>28.2725319380305</v>
      </c>
    </row>
    <row r="29" customFormat="false" ht="15" hidden="false" customHeight="true" outlineLevel="0" collapsed="false">
      <c r="A29" s="17" t="s">
        <v>755</v>
      </c>
      <c r="B29" s="45" t="n">
        <f aca="false">SUM(_Engine_R50!V106:V108)</f>
        <v>11.5407942995901</v>
      </c>
      <c r="C29" s="45" t="n">
        <f aca="false">IF(_Engine_R50!P221=0, 0, _Engine_R50!J239*B29/_Engine_R50!P221)</f>
        <v>9.23263543967209</v>
      </c>
      <c r="D29" s="45" t="n">
        <f aca="false">IF(_Engine_R50!P221=0, 0, _Engine_R50!K239*B29/_Engine_R50!P221)</f>
        <v>2.30815885991802</v>
      </c>
      <c r="E29" s="45" t="n">
        <f aca="false">E28+C29</f>
        <v>288.040759923856</v>
      </c>
      <c r="F29" s="45" t="n">
        <v>31.1365932483016</v>
      </c>
    </row>
    <row r="30" customFormat="false" ht="15" hidden="false" customHeight="true" outlineLevel="0" collapsed="false">
      <c r="A30" s="17" t="s">
        <v>756</v>
      </c>
      <c r="B30" s="45" t="n">
        <f aca="false">SUM(_Engine_R50!V109:V111)</f>
        <v>11.2197589512512</v>
      </c>
      <c r="C30" s="45" t="n">
        <f aca="false">IF(_Engine_R50!P221=0, 0, _Engine_R50!J239*B30/_Engine_R50!P221)</f>
        <v>8.97580716100094</v>
      </c>
      <c r="D30" s="45" t="n">
        <f aca="false">IF(_Engine_R50!P221=0, 0, _Engine_R50!K239*B30/_Engine_R50!P221)</f>
        <v>2.24395179025023</v>
      </c>
      <c r="E30" s="45" t="n">
        <f aca="false">E29+C30</f>
        <v>297.016567084857</v>
      </c>
      <c r="F30" s="45" t="n">
        <v>33.9499253639382</v>
      </c>
    </row>
    <row r="31" customFormat="false" ht="15" hidden="false" customHeight="true" outlineLevel="0" collapsed="false">
      <c r="A31" s="17" t="s">
        <v>757</v>
      </c>
      <c r="B31" s="45" t="n">
        <f aca="false">SUM(_Engine_R50!V112:V114)</f>
        <v>10.9082794453168</v>
      </c>
      <c r="C31" s="45" t="n">
        <f aca="false">IF(_Engine_R50!P221=0, 0, _Engine_R50!J239*B31/_Engine_R50!P221)</f>
        <v>8.72662355625344</v>
      </c>
      <c r="D31" s="45" t="n">
        <f aca="false">IF(_Engine_R50!P221=0, 0, _Engine_R50!K239*B31/_Engine_R50!P221)</f>
        <v>2.18165588906336</v>
      </c>
      <c r="E31" s="45" t="n">
        <f aca="false">E30+C31</f>
        <v>305.74319064111</v>
      </c>
      <c r="F31" s="45" t="n">
        <v>35.5508594465442</v>
      </c>
    </row>
    <row r="32" customFormat="false" ht="15" hidden="false" customHeight="true" outlineLevel="0" collapsed="false">
      <c r="A32" s="255" t="s">
        <v>758</v>
      </c>
      <c r="B32" s="256" t="n">
        <f aca="false">SUM(_Engine_R50!V115:V117)</f>
        <v>10.6060292484719</v>
      </c>
      <c r="C32" s="256" t="n">
        <f aca="false">IF(_Engine_R50!P222=0, 0, _Engine_R50!J240*B32/_Engine_R50!P222)</f>
        <v>8.48482339877756</v>
      </c>
      <c r="D32" s="256" t="n">
        <f aca="false">IF(_Engine_R50!P222=0, 0, _Engine_R50!K240*B32/_Engine_R50!P222)</f>
        <v>2.12120584969439</v>
      </c>
      <c r="E32" s="256" t="n">
        <f aca="false">E31+C32</f>
        <v>314.228014039888</v>
      </c>
      <c r="F32" s="256" t="n">
        <v>38.2701455165392</v>
      </c>
    </row>
    <row r="33" customFormat="false" ht="15" hidden="false" customHeight="true" outlineLevel="0" collapsed="false">
      <c r="A33" s="17" t="s">
        <v>759</v>
      </c>
      <c r="B33" s="45" t="n">
        <f aca="false">SUM(_Engine_R50!V118:V120)</f>
        <v>10.3126938077357</v>
      </c>
      <c r="C33" s="45" t="n">
        <f aca="false">IF(_Engine_R50!P222=0, 0, _Engine_R50!J240*B33/_Engine_R50!P222)</f>
        <v>8.2501550461886</v>
      </c>
      <c r="D33" s="45" t="n">
        <f aca="false">IF(_Engine_R50!P222=0, 0, _Engine_R50!K240*B33/_Engine_R50!P222)</f>
        <v>2.06253876154715</v>
      </c>
      <c r="E33" s="45" t="n">
        <f aca="false">E32+C33</f>
        <v>322.478169086076</v>
      </c>
      <c r="F33" s="45" t="n">
        <v>40.9458675944157</v>
      </c>
    </row>
    <row r="34" customFormat="false" ht="15" hidden="false" customHeight="true" outlineLevel="0" collapsed="false">
      <c r="A34" s="17" t="s">
        <v>760</v>
      </c>
      <c r="B34" s="45" t="n">
        <f aca="false">SUM(_Engine_R50!V121:V123)</f>
        <v>10.0279700951347</v>
      </c>
      <c r="C34" s="45" t="n">
        <f aca="false">IF(_Engine_R50!P222=0, 0, _Engine_R50!J240*B34/_Engine_R50!P222)</f>
        <v>8.02237607610777</v>
      </c>
      <c r="D34" s="45" t="n">
        <f aca="false">IF(_Engine_R50!P222=0, 0, _Engine_R50!K240*B34/_Engine_R50!P222)</f>
        <v>2.00559401902694</v>
      </c>
      <c r="E34" s="45" t="n">
        <f aca="false">E33+C34</f>
        <v>330.500545162184</v>
      </c>
      <c r="F34" s="45" t="n">
        <v>43.580177438186</v>
      </c>
    </row>
    <row r="35" customFormat="false" ht="15" hidden="false" customHeight="true" outlineLevel="0" collapsed="false">
      <c r="A35" s="17" t="s">
        <v>761</v>
      </c>
      <c r="B35" s="45" t="n">
        <f aca="false">SUM(_Engine_R50!V124:V126)</f>
        <v>9.75156617000338</v>
      </c>
      <c r="C35" s="45" t="n">
        <f aca="false">IF(_Engine_R50!P222=0, 0, _Engine_R50!J240*B35/_Engine_R50!P222)</f>
        <v>7.8012529360027</v>
      </c>
      <c r="D35" s="45" t="n">
        <f aca="false">IF(_Engine_R50!P222=0, 0, _Engine_R50!K240*B35/_Engine_R50!P222)</f>
        <v>1.95031323400068</v>
      </c>
      <c r="E35" s="45" t="n">
        <f aca="false">E34+C35</f>
        <v>338.301798098187</v>
      </c>
      <c r="F35" s="45" t="n">
        <v>45.1645928701438</v>
      </c>
    </row>
    <row r="36" customFormat="false" ht="15" hidden="false" customHeight="true" outlineLevel="0" collapsed="false">
      <c r="A36" s="255" t="s">
        <v>762</v>
      </c>
      <c r="B36" s="256" t="n">
        <f aca="false">SUM(_Engine_R50!V127:V129)</f>
        <v>9.48320075822287</v>
      </c>
      <c r="C36" s="256" t="n">
        <f aca="false">IF(_Engine_R50!P223=0, 0, _Engine_R50!J241*B36/_Engine_R50!P223)</f>
        <v>7.5865606065783</v>
      </c>
      <c r="D36" s="256" t="n">
        <f aca="false">IF(_Engine_R50!P223=0, 0, _Engine_R50!K241*B36/_Engine_R50!P223)</f>
        <v>1.89664015164457</v>
      </c>
      <c r="E36" s="256" t="n">
        <f aca="false">E35+C36</f>
        <v>345.888358704765</v>
      </c>
      <c r="F36" s="256" t="n">
        <v>47.7221058130112</v>
      </c>
    </row>
    <row r="37" customFormat="false" ht="15" hidden="false" customHeight="true" outlineLevel="0" collapsed="false">
      <c r="A37" s="17" t="s">
        <v>763</v>
      </c>
      <c r="B37" s="45" t="n">
        <f aca="false">SUM(_Engine_R50!V130:V132)</f>
        <v>9.22260284773488</v>
      </c>
      <c r="C37" s="45" t="n">
        <f aca="false">IF(_Engine_R50!P223=0, 0, _Engine_R50!J241*B37/_Engine_R50!P223)</f>
        <v>7.37808227818791</v>
      </c>
      <c r="D37" s="45" t="n">
        <f aca="false">IF(_Engine_R50!P223=0, 0, _Engine_R50!K241*B37/_Engine_R50!P223)</f>
        <v>1.84452056954698</v>
      </c>
      <c r="E37" s="45" t="n">
        <f aca="false">E36+C37</f>
        <v>353.266440982953</v>
      </c>
      <c r="F37" s="45" t="n">
        <v>50.2440338005231</v>
      </c>
    </row>
    <row r="38" customFormat="false" ht="15" hidden="false" customHeight="true" outlineLevel="0" collapsed="false">
      <c r="A38" s="17" t="s">
        <v>764</v>
      </c>
      <c r="B38" s="45" t="n">
        <f aca="false">SUM(_Engine_R50!V133:V135)</f>
        <v>8.96951129969469</v>
      </c>
      <c r="C38" s="45" t="n">
        <f aca="false">IF(_Engine_R50!P223=0, 0, _Engine_R50!J241*B38/_Engine_R50!P223)</f>
        <v>7.17560903975575</v>
      </c>
      <c r="D38" s="45" t="n">
        <f aca="false">IF(_Engine_R50!P223=0, 0, _Engine_R50!K241*B38/_Engine_R50!P223)</f>
        <v>1.79390225993894</v>
      </c>
      <c r="E38" s="45" t="n">
        <f aca="false">E37+C38</f>
        <v>360.442050022709</v>
      </c>
      <c r="F38" s="45" t="n">
        <v>52.7321274541111</v>
      </c>
    </row>
    <row r="39" customFormat="false" ht="15" hidden="false" customHeight="true" outlineLevel="0" collapsed="false">
      <c r="A39" s="17" t="s">
        <v>765</v>
      </c>
      <c r="B39" s="45" t="n">
        <f aca="false">SUM(_Engine_R50!V136:V138)</f>
        <v>8.72367447465193</v>
      </c>
      <c r="C39" s="45" t="n">
        <f aca="false">IF(_Engine_R50!P223=0, 0, _Engine_R50!J241*B39/_Engine_R50!P223)</f>
        <v>6.97893957972155</v>
      </c>
      <c r="D39" s="45" t="n">
        <f aca="false">IF(_Engine_R50!P223=0, 0, _Engine_R50!K241*B39/_Engine_R50!P223)</f>
        <v>1.74473489493039</v>
      </c>
      <c r="E39" s="45" t="n">
        <f aca="false">E38+C39</f>
        <v>367.42098960243</v>
      </c>
      <c r="F39" s="45" t="n">
        <v>54.3030079906695</v>
      </c>
    </row>
    <row r="40" customFormat="false" ht="15" hidden="false" customHeight="true" outlineLevel="0" collapsed="false">
      <c r="A40" s="255" t="s">
        <v>766</v>
      </c>
      <c r="B40" s="256" t="n">
        <f aca="false">SUM(_Engine_R50!V139:V141)</f>
        <v>8.48484987317185</v>
      </c>
      <c r="C40" s="256" t="n">
        <f aca="false">IF(_Engine_R50!P224=0, 0, _Engine_R50!J242*B40/_Engine_R50!P224)</f>
        <v>6.78787989853748</v>
      </c>
      <c r="D40" s="256" t="n">
        <f aca="false">IF(_Engine_R50!P224=0, 0, _Engine_R50!K242*B40/_Engine_R50!P224)</f>
        <v>1.69696997463437</v>
      </c>
      <c r="E40" s="256" t="n">
        <f aca="false">E39+C40</f>
        <v>374.208869500968</v>
      </c>
      <c r="F40" s="256" t="n">
        <v>56.7283380688041</v>
      </c>
    </row>
    <row r="41" customFormat="false" ht="15" hidden="false" customHeight="true" outlineLevel="0" collapsed="false">
      <c r="A41" s="17" t="s">
        <v>767</v>
      </c>
      <c r="B41" s="45" t="n">
        <f aca="false">SUM(_Engine_R50!V142:V144)</f>
        <v>8.25280379033277</v>
      </c>
      <c r="C41" s="45" t="n">
        <f aca="false">IF(_Engine_R50!P224=0, 0, _Engine_R50!J242*B41/_Engine_R50!P224)</f>
        <v>6.60224303226621</v>
      </c>
      <c r="D41" s="45" t="n">
        <f aca="false">IF(_Engine_R50!P224=0, 0, _Engine_R50!K242*B41/_Engine_R50!P224)</f>
        <v>1.65056075806655</v>
      </c>
      <c r="E41" s="45" t="n">
        <f aca="false">E40+C41</f>
        <v>380.811112533234</v>
      </c>
      <c r="F41" s="45" t="n">
        <v>59.1245764852428</v>
      </c>
    </row>
    <row r="42" customFormat="false" ht="15" hidden="false" customHeight="true" outlineLevel="0" collapsed="false">
      <c r="A42" s="17" t="s">
        <v>768</v>
      </c>
      <c r="B42" s="45" t="n">
        <f aca="false">SUM(_Engine_R50!V145:V147)</f>
        <v>8.02731098355793</v>
      </c>
      <c r="C42" s="45" t="n">
        <f aca="false">IF(_Engine_R50!P224=0, 0, _Engine_R50!J242*B42/_Engine_R50!P224)</f>
        <v>6.42184878684635</v>
      </c>
      <c r="D42" s="45" t="n">
        <f aca="false">IF(_Engine_R50!P224=0, 0, _Engine_R50!K242*B42/_Engine_R50!P224)</f>
        <v>1.60546219671159</v>
      </c>
      <c r="E42" s="45" t="n">
        <f aca="false">E41+C42</f>
        <v>387.23296132008</v>
      </c>
      <c r="F42" s="45" t="n">
        <v>61.4931485698992</v>
      </c>
    </row>
    <row r="43" customFormat="false" ht="15" hidden="false" customHeight="true" outlineLevel="0" collapsed="false">
      <c r="A43" s="17" t="s">
        <v>769</v>
      </c>
      <c r="B43" s="45" t="n">
        <f aca="false">SUM(_Engine_R50!V148:V150)</f>
        <v>7.808154353261</v>
      </c>
      <c r="C43" s="45" t="n">
        <f aca="false">IF(_Engine_R50!P224=0, 0, _Engine_R50!J242*B43/_Engine_R50!P224)</f>
        <v>6.2465234826088</v>
      </c>
      <c r="D43" s="45" t="n">
        <f aca="false">IF(_Engine_R50!P224=0, 0, _Engine_R50!K242*B43/_Engine_R50!P224)</f>
        <v>1.5616308706522</v>
      </c>
      <c r="E43" s="45" t="n">
        <f aca="false">E42+C43</f>
        <v>393.479484802689</v>
      </c>
      <c r="F43" s="45" t="n">
        <v>63.0529292114891</v>
      </c>
    </row>
    <row r="44" customFormat="false" ht="15" hidden="false" customHeight="true" outlineLevel="0" collapsed="false">
      <c r="A44" s="255" t="s">
        <v>770</v>
      </c>
      <c r="B44" s="256" t="n">
        <f aca="false">SUM(_Engine_R50!V151:V153)</f>
        <v>7.59512463580496</v>
      </c>
      <c r="C44" s="256" t="n">
        <f aca="false">IF(_Engine_R50!P225=0, 0, _Engine_R50!J243*B44/_Engine_R50!P225)</f>
        <v>6.07609970864397</v>
      </c>
      <c r="D44" s="256" t="n">
        <f aca="false">IF(_Engine_R50!P225=0, 0, _Engine_R50!K243*B44/_Engine_R50!P225)</f>
        <v>1.51902492716099</v>
      </c>
      <c r="E44" s="256" t="n">
        <f aca="false">E43+C44</f>
        <v>399.555584511333</v>
      </c>
      <c r="F44" s="256" t="n">
        <v>65.3701632892614</v>
      </c>
    </row>
    <row r="45" customFormat="false" ht="15" hidden="false" customHeight="true" outlineLevel="0" collapsed="false">
      <c r="A45" s="17" t="s">
        <v>771</v>
      </c>
      <c r="B45" s="45" t="n">
        <f aca="false">SUM(_Engine_R50!V154:V156)</f>
        <v>7.388020108294</v>
      </c>
      <c r="C45" s="45" t="n">
        <f aca="false">IF(_Engine_R50!P225=0, 0, _Engine_R50!J243*B45/_Engine_R50!P225)</f>
        <v>5.9104160866352</v>
      </c>
      <c r="D45" s="45" t="n">
        <f aca="false">IF(_Engine_R50!P225=0, 0, _Engine_R50!K243*B45/_Engine_R50!P225)</f>
        <v>1.4776040216588</v>
      </c>
      <c r="E45" s="45" t="n">
        <f aca="false">E44+C45</f>
        <v>405.466000597968</v>
      </c>
      <c r="F45" s="45" t="n">
        <v>67.6635938948771</v>
      </c>
    </row>
    <row r="46" customFormat="false" ht="15" hidden="false" customHeight="true" outlineLevel="0" collapsed="false">
      <c r="A46" s="17" t="s">
        <v>772</v>
      </c>
      <c r="B46" s="45" t="n">
        <f aca="false">SUM(_Engine_R50!V157:V159)</f>
        <v>7.18664630473672</v>
      </c>
      <c r="C46" s="45" t="n">
        <f aca="false">IF(_Engine_R50!P225=0, 0, _Engine_R50!J243*B46/_Engine_R50!P225)</f>
        <v>5.74931704378937</v>
      </c>
      <c r="D46" s="45" t="n">
        <f aca="false">IF(_Engine_R50!P225=0, 0, _Engine_R50!K243*B46/_Engine_R50!P225)</f>
        <v>1.43732926094734</v>
      </c>
      <c r="E46" s="45" t="n">
        <f aca="false">E45+C46</f>
        <v>411.215317641758</v>
      </c>
      <c r="F46" s="45" t="n">
        <v>69.9343824001203</v>
      </c>
    </row>
    <row r="47" customFormat="false" ht="15" hidden="false" customHeight="true" outlineLevel="0" collapsed="false">
      <c r="A47" s="17" t="s">
        <v>773</v>
      </c>
      <c r="B47" s="45" t="n">
        <f aca="false">SUM(_Engine_R50!V160:V162)</f>
        <v>6.99081574313709</v>
      </c>
      <c r="C47" s="45" t="n">
        <f aca="false">IF(_Engine_R50!P225=0, 0, _Engine_R50!J243*B47/_Engine_R50!P225)</f>
        <v>5.59265259450967</v>
      </c>
      <c r="D47" s="45" t="n">
        <f aca="false">IF(_Engine_R50!P225=0, 0, _Engine_R50!K243*B47/_Engine_R50!P225)</f>
        <v>1.39816314862742</v>
      </c>
      <c r="E47" s="45" t="n">
        <f aca="false">E46+C47</f>
        <v>416.807970236267</v>
      </c>
      <c r="F47" s="45" t="n">
        <v>71.4850519438841</v>
      </c>
    </row>
    <row r="48" customFormat="false" ht="15" hidden="false" customHeight="true" outlineLevel="0" collapsed="false">
      <c r="A48" s="255" t="s">
        <v>774</v>
      </c>
      <c r="B48" s="256" t="n">
        <f aca="false">SUM(_Engine_R50!V163:V165)</f>
        <v>6.80034766308719</v>
      </c>
      <c r="C48" s="256" t="n">
        <f aca="false">IF(_Engine_R50!P226=0, 0, _Engine_R50!J244*B48/_Engine_R50!P226)</f>
        <v>5.44027813046975</v>
      </c>
      <c r="D48" s="256" t="n">
        <f aca="false">IF(_Engine_R50!P226=0, 0, _Engine_R50!K244*B48/_Engine_R50!P226)</f>
        <v>1.36006953261744</v>
      </c>
      <c r="E48" s="256" t="n">
        <f aca="false">E47+C48</f>
        <v>422.248248366737</v>
      </c>
      <c r="F48" s="256" t="n">
        <v>73.7138119690768</v>
      </c>
    </row>
    <row r="49" customFormat="false" ht="15" hidden="false" customHeight="true" outlineLevel="0" collapsed="false">
      <c r="A49" s="17" t="s">
        <v>775</v>
      </c>
      <c r="B49" s="45" t="n">
        <f aca="false">SUM(_Engine_R50!V166:V168)</f>
        <v>6.61506777345232</v>
      </c>
      <c r="C49" s="45" t="n">
        <f aca="false">IF(_Engine_R50!P226=0, 0, _Engine_R50!J244*B49/_Engine_R50!P226)</f>
        <v>5.29205421876186</v>
      </c>
      <c r="D49" s="45" t="n">
        <f aca="false">IF(_Engine_R50!P226=0, 0, _Engine_R50!K244*B49/_Engine_R50!P226)</f>
        <v>1.32301355469046</v>
      </c>
      <c r="E49" s="45" t="n">
        <f aca="false">E48+C49</f>
        <v>427.540302585499</v>
      </c>
      <c r="F49" s="45" t="n">
        <v>75.9230785951643</v>
      </c>
    </row>
    <row r="50" customFormat="false" ht="15" hidden="false" customHeight="true" outlineLevel="0" collapsed="false">
      <c r="A50" s="17" t="s">
        <v>776</v>
      </c>
      <c r="B50" s="45" t="n">
        <f aca="false">SUM(_Engine_R50!V169:V171)</f>
        <v>6.43480800975537</v>
      </c>
      <c r="C50" s="45" t="n">
        <f aca="false">IF(_Engine_R50!P226=0, 0, _Engine_R50!J244*B50/_Engine_R50!P226)</f>
        <v>5.1478464078043</v>
      </c>
      <c r="D50" s="45" t="n">
        <f aca="false">IF(_Engine_R50!P226=0, 0, _Engine_R50!K244*B50/_Engine_R50!P226)</f>
        <v>1.28696160195107</v>
      </c>
      <c r="E50" s="45" t="n">
        <f aca="false">E49+C50</f>
        <v>432.688148993303</v>
      </c>
      <c r="F50" s="45" t="n">
        <v>78.1137988612494</v>
      </c>
    </row>
    <row r="51" customFormat="false" ht="15" hidden="false" customHeight="true" outlineLevel="0" collapsed="false">
      <c r="A51" s="17" t="s">
        <v>777</v>
      </c>
      <c r="B51" s="45" t="n">
        <f aca="false">SUM(_Engine_R50!V172:V174)</f>
        <v>6.25940630088235</v>
      </c>
      <c r="C51" s="45" t="n">
        <f aca="false">IF(_Engine_R50!P226=0, 0, _Engine_R50!J244*B51/_Engine_R50!P226)</f>
        <v>5.00752504070588</v>
      </c>
      <c r="D51" s="45" t="n">
        <f aca="false">IF(_Engine_R50!P226=0, 0, _Engine_R50!K244*B51/_Engine_R50!P226)</f>
        <v>1.25188126017647</v>
      </c>
      <c r="E51" s="45" t="n">
        <f aca="false">E50+C51</f>
        <v>437.695674034009</v>
      </c>
      <c r="F51" s="45" t="n">
        <v>79.6569830221784</v>
      </c>
    </row>
    <row r="52" customFormat="false" ht="15" hidden="false" customHeight="true" outlineLevel="0" collapsed="false">
      <c r="A52" s="255" t="s">
        <v>778</v>
      </c>
      <c r="B52" s="256" t="n">
        <f aca="false">SUM(_Engine_R50!V175:V177)</f>
        <v>6.08870634474651</v>
      </c>
      <c r="C52" s="256" t="n">
        <f aca="false">IF(_Engine_R50!P227=0, 0, _Engine_R50!J245*B52/_Engine_R50!P227)</f>
        <v>4.87096507579721</v>
      </c>
      <c r="D52" s="256" t="n">
        <f aca="false">IF(_Engine_R50!P227=0, 0, _Engine_R50!K245*B52/_Engine_R50!P227)</f>
        <v>1.2177412689493</v>
      </c>
      <c r="E52" s="256" t="n">
        <f aca="false">E51+C52</f>
        <v>442.566639109806</v>
      </c>
      <c r="F52" s="256" t="n">
        <v>81.8132661408612</v>
      </c>
    </row>
    <row r="53" customFormat="false" ht="15" hidden="false" customHeight="true" outlineLevel="0" collapsed="false">
      <c r="A53" s="17" t="s">
        <v>779</v>
      </c>
      <c r="B53" s="45" t="n">
        <f aca="false">SUM(_Engine_R50!V178:V180)</f>
        <v>5.92255739256194</v>
      </c>
      <c r="C53" s="45" t="n">
        <f aca="false">IF(_Engine_R50!P227=0, 0, _Engine_R50!J245*B53/_Engine_R50!P227)</f>
        <v>4.73804591404955</v>
      </c>
      <c r="D53" s="45" t="n">
        <f aca="false">IF(_Engine_R50!P227=0, 0, _Engine_R50!K245*B53/_Engine_R50!P227)</f>
        <v>1.18451147851239</v>
      </c>
      <c r="E53" s="45" t="n">
        <f aca="false">E52+C53</f>
        <v>447.304685023856</v>
      </c>
      <c r="F53" s="45" t="n">
        <v>83.953571512087</v>
      </c>
    </row>
    <row r="54" customFormat="false" ht="15" hidden="false" customHeight="true" outlineLevel="0" collapsed="false">
      <c r="A54" s="17" t="s">
        <v>780</v>
      </c>
      <c r="B54" s="45" t="n">
        <f aca="false">SUM(_Engine_R50!V181:V183)</f>
        <v>5.76081404139184</v>
      </c>
      <c r="C54" s="45" t="n">
        <f aca="false">IF(_Engine_R50!P227=0, 0, _Engine_R50!J245*B54/_Engine_R50!P227)</f>
        <v>4.60865123311348</v>
      </c>
      <c r="D54" s="45" t="n">
        <f aca="false">IF(_Engine_R50!P227=0, 0, _Engine_R50!K245*B54/_Engine_R50!P227)</f>
        <v>1.15216280827837</v>
      </c>
      <c r="E54" s="45" t="n">
        <f aca="false">E53+C54</f>
        <v>451.913336256969</v>
      </c>
      <c r="F54" s="45" t="n">
        <v>86.0786720175619</v>
      </c>
    </row>
    <row r="55" customFormat="false" ht="15" hidden="false" customHeight="true" outlineLevel="0" collapsed="false">
      <c r="A55" s="17" t="s">
        <v>781</v>
      </c>
      <c r="B55" s="45" t="n">
        <f aca="false">SUM(_Engine_R50!V184:V186)</f>
        <v>5.6033360346495</v>
      </c>
      <c r="C55" s="45" t="n">
        <f aca="false">IF(_Engine_R50!P227=0, 0, _Engine_R50!J245*B55/_Engine_R50!P227)</f>
        <v>4.4826688277196</v>
      </c>
      <c r="D55" s="45" t="n">
        <f aca="false">IF(_Engine_R50!P227=0, 0, _Engine_R50!K245*B55/_Engine_R50!P227)</f>
        <v>1.1206672069299</v>
      </c>
      <c r="E55" s="45" t="n">
        <f aca="false">E54+C55</f>
        <v>456.396005084689</v>
      </c>
      <c r="F55" s="45" t="n">
        <v>87.6157008433354</v>
      </c>
    </row>
    <row r="56" customFormat="false" ht="15" hidden="false" customHeight="true" outlineLevel="0" collapsed="false">
      <c r="A56" s="255" t="s">
        <v>782</v>
      </c>
      <c r="B56" s="256" t="n">
        <f aca="false">SUM(_Engine_R50!V187:V189)</f>
        <v>5.4499880702427</v>
      </c>
      <c r="C56" s="256" t="n">
        <f aca="false">IF(_Engine_R50!P228=0, 0, _Engine_R50!J246*B56/_Engine_R50!P228)</f>
        <v>4.35999045619416</v>
      </c>
      <c r="D56" s="256" t="n">
        <f aca="false">IF(_Engine_R50!P228=0, 0, _Engine_R50!K246*B56/_Engine_R50!P228)</f>
        <v>1.08999761404854</v>
      </c>
      <c r="E56" s="256" t="n">
        <f aca="false">E55+C56</f>
        <v>460.755995540883</v>
      </c>
      <c r="F56" s="256" t="n">
        <v>89.7125594220311</v>
      </c>
    </row>
    <row r="57" customFormat="false" ht="15" hidden="false" customHeight="true" outlineLevel="0" collapsed="false">
      <c r="A57" s="17" t="s">
        <v>783</v>
      </c>
      <c r="B57" s="45" t="n">
        <f aca="false">SUM(_Engine_R50!V190:V192)</f>
        <v>5.30063961606438</v>
      </c>
      <c r="C57" s="45" t="n">
        <f aca="false">IF(_Engine_R50!P228=0, 0, _Engine_R50!J246*B57/_Engine_R50!P228)</f>
        <v>4.24051169285151</v>
      </c>
      <c r="D57" s="45" t="n">
        <f aca="false">IF(_Engine_R50!P228=0, 0, _Engine_R50!K246*B57/_Engine_R50!P228)</f>
        <v>1.06012792321288</v>
      </c>
      <c r="E57" s="45" t="n">
        <f aca="false">E56+C57</f>
        <v>464.996507233734</v>
      </c>
      <c r="F57" s="45" t="n">
        <v>91.7963102288141</v>
      </c>
    </row>
    <row r="58" customFormat="false" ht="15" hidden="false" customHeight="true" outlineLevel="0" collapsed="false">
      <c r="A58" s="17" t="s">
        <v>784</v>
      </c>
      <c r="B58" s="45" t="n">
        <f aca="false">SUM(_Engine_R50!V193:V195)</f>
        <v>5.15516473254423</v>
      </c>
      <c r="C58" s="45" t="n">
        <f aca="false">IF(_Engine_R50!P228=0, 0, _Engine_R50!J246*B58/_Engine_R50!P228)</f>
        <v>4.12413178603538</v>
      </c>
      <c r="D58" s="45" t="n">
        <f aca="false">IF(_Engine_R50!P228=0, 0, _Engine_R50!K246*B58/_Engine_R50!P228)</f>
        <v>1.03103294650885</v>
      </c>
      <c r="E58" s="45" t="n">
        <f aca="false">E57+C58</f>
        <v>469.12063901977</v>
      </c>
      <c r="F58" s="45" t="n">
        <v>93.8675845319098</v>
      </c>
    </row>
    <row r="59" customFormat="false" ht="15" hidden="false" customHeight="true" outlineLevel="0" collapsed="false">
      <c r="A59" s="17" t="s">
        <v>785</v>
      </c>
      <c r="B59" s="45" t="n">
        <f aca="false">SUM(_Engine_R50!V196:V198)</f>
        <v>5.01344190198663</v>
      </c>
      <c r="C59" s="45" t="n">
        <f aca="false">IF(_Engine_R50!P228=0, 0, _Engine_R50!J246*B59/_Engine_R50!P228)</f>
        <v>4.0107535215893</v>
      </c>
      <c r="D59" s="45" t="n">
        <f aca="false">IF(_Engine_R50!P228=0, 0, _Engine_R50!K246*B59/_Engine_R50!P228)</f>
        <v>1.00268838039733</v>
      </c>
      <c r="E59" s="45" t="n">
        <f aca="false">E58+C59</f>
        <v>473.131392541359</v>
      </c>
      <c r="F59" s="45" t="n">
        <v>95.3995471150044</v>
      </c>
    </row>
    <row r="60" customFormat="false" ht="15" hidden="false" customHeight="true" outlineLevel="0" collapsed="false">
      <c r="A60" s="255" t="s">
        <v>786</v>
      </c>
      <c r="B60" s="256" t="n">
        <f aca="false">SUM(_Engine_R50!V199:V201)</f>
        <v>4.87535386443173</v>
      </c>
      <c r="C60" s="256" t="n">
        <f aca="false">IF(_Engine_R50!P229=0, 0, _Engine_R50!J247*B60/_Engine_R50!P229)</f>
        <v>3.90028309154539</v>
      </c>
      <c r="D60" s="256" t="n">
        <f aca="false">IF(_Engine_R50!P229=0, 0, _Engine_R50!K247*B60/_Engine_R50!P229)</f>
        <v>0.975070772886346</v>
      </c>
      <c r="E60" s="256" t="n">
        <f aca="false">E59+C60</f>
        <v>477.031675632905</v>
      </c>
      <c r="F60" s="256" t="n">
        <v>97.4476394991479</v>
      </c>
    </row>
    <row r="61" customFormat="false" ht="15" hidden="false" customHeight="true" outlineLevel="0" collapsed="false">
      <c r="A61" s="17" t="s">
        <v>787</v>
      </c>
      <c r="B61" s="45" t="n">
        <f aca="false">SUM(_Engine_R50!V202:V204)</f>
        <v>4.7407874597862</v>
      </c>
      <c r="C61" s="45" t="n">
        <f aca="false">IF(_Engine_R50!P229=0, 0, _Engine_R50!J247*B61/_Engine_R50!P229)</f>
        <v>3.79262996782896</v>
      </c>
      <c r="D61" s="45" t="n">
        <f aca="false">IF(_Engine_R50!P229=0, 0, _Engine_R50!K247*B61/_Engine_R50!P229)</f>
        <v>0.94815749195724</v>
      </c>
      <c r="E61" s="45" t="n">
        <f aca="false">E60+C61</f>
        <v>480.824305600734</v>
      </c>
      <c r="F61" s="45" t="n">
        <v>99.4849689279063</v>
      </c>
    </row>
    <row r="62" customFormat="false" ht="15" hidden="false" customHeight="true" outlineLevel="0" collapsed="false">
      <c r="A62" s="17" t="s">
        <v>788</v>
      </c>
      <c r="B62" s="45" t="n">
        <f aca="false">SUM(_Engine_R50!V205:V207)</f>
        <v>4.60963347598043</v>
      </c>
      <c r="C62" s="45" t="n">
        <f aca="false">IF(_Engine_R50!P229=0, 0, _Engine_R50!J247*B62/_Engine_R50!P229)</f>
        <v>3.68770678078434</v>
      </c>
      <c r="D62" s="45" t="n">
        <f aca="false">IF(_Engine_R50!P229=0, 0, _Engine_R50!K247*B62/_Engine_R50!P229)</f>
        <v>0.921926695196085</v>
      </c>
      <c r="E62" s="45" t="n">
        <f aca="false">E61+C62</f>
        <v>484.512012381518</v>
      </c>
      <c r="F62" s="45" t="n">
        <v>101.512051434291</v>
      </c>
    </row>
    <row r="63" customFormat="false" ht="15" hidden="false" customHeight="true" outlineLevel="0" collapsed="false">
      <c r="A63" s="17" t="s">
        <v>789</v>
      </c>
      <c r="B63" s="45" t="n">
        <f aca="false">SUM(_Engine_R50!V208:V210)</f>
        <v>4.48178650291847</v>
      </c>
      <c r="C63" s="45" t="n">
        <f aca="false">IF(_Engine_R50!P229=0, 0, _Engine_R50!J247*B63/_Engine_R50!P229)</f>
        <v>3.58542920233478</v>
      </c>
      <c r="D63" s="45" t="n">
        <f aca="false">IF(_Engine_R50!P229=0, 0, _Engine_R50!K247*B63/_Engine_R50!P229)</f>
        <v>0.896357300583694</v>
      </c>
      <c r="E63" s="45" t="n">
        <f aca="false">E62+C63</f>
        <v>488.097441583853</v>
      </c>
      <c r="F63" s="45" t="n">
        <v>103.039840344871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8"/>
  </cols>
  <sheetData>
    <row r="1" customFormat="false" ht="15.75" hidden="false" customHeight="true" outlineLevel="0" collapsed="false">
      <c r="A1" s="41" t="s">
        <v>790</v>
      </c>
      <c r="B1" s="64"/>
      <c r="C1" s="64"/>
      <c r="D1" s="64"/>
      <c r="E1" s="64"/>
      <c r="F1" s="64"/>
      <c r="G1" s="64"/>
      <c r="H1" s="86"/>
      <c r="I1" s="155"/>
    </row>
    <row r="2" customFormat="false" ht="15" hidden="false" customHeight="true" outlineLevel="0" collapsed="false">
      <c r="A2" s="9" t="s">
        <v>791</v>
      </c>
      <c r="B2" s="86"/>
      <c r="C2" s="86"/>
      <c r="D2" s="86"/>
      <c r="E2" s="86"/>
      <c r="F2" s="86"/>
      <c r="G2" s="86"/>
      <c r="H2" s="86"/>
      <c r="I2" s="86"/>
    </row>
    <row r="3" customFormat="false" ht="15" hidden="false" customHeight="true" outlineLevel="0" collapsed="false">
      <c r="A3" s="86"/>
      <c r="B3" s="218"/>
      <c r="C3" s="218"/>
      <c r="D3" s="218"/>
      <c r="E3" s="218"/>
      <c r="F3" s="218"/>
      <c r="G3" s="218"/>
      <c r="H3" s="86"/>
      <c r="I3" s="86"/>
    </row>
    <row r="4" customFormat="false" ht="15" hidden="false" customHeight="true" outlineLevel="0" collapsed="false">
      <c r="A4" s="34" t="s">
        <v>792</v>
      </c>
      <c r="B4" s="247"/>
      <c r="C4" s="247"/>
      <c r="D4" s="247"/>
      <c r="E4" s="247"/>
      <c r="F4" s="247"/>
      <c r="G4" s="247"/>
      <c r="H4" s="86"/>
      <c r="I4" s="86"/>
    </row>
    <row r="5" customFormat="false" ht="15" hidden="false" customHeight="true" outlineLevel="0" collapsed="false">
      <c r="A5" s="86"/>
      <c r="B5" s="68"/>
      <c r="C5" s="68"/>
      <c r="D5" s="68"/>
      <c r="E5" s="68"/>
      <c r="F5" s="68"/>
      <c r="G5" s="68"/>
      <c r="H5" s="86"/>
      <c r="I5" s="86"/>
    </row>
    <row r="6" customFormat="false" ht="15" hidden="false" customHeight="true" outlineLevel="0" collapsed="false">
      <c r="A6" s="41" t="s">
        <v>793</v>
      </c>
      <c r="B6" s="233" t="s">
        <v>794</v>
      </c>
      <c r="C6" s="233" t="s">
        <v>795</v>
      </c>
      <c r="D6" s="87"/>
      <c r="E6" s="87"/>
      <c r="F6" s="87"/>
      <c r="G6" s="87"/>
      <c r="H6" s="86"/>
      <c r="I6" s="86"/>
    </row>
    <row r="7" customFormat="false" ht="15" hidden="false" customHeight="true" outlineLevel="0" collapsed="false">
      <c r="A7" s="86" t="s">
        <v>796</v>
      </c>
      <c r="B7" s="68" t="n">
        <f aca="false">_Engine_R50!$B$252</f>
        <v>2.9981272663194</v>
      </c>
      <c r="C7" s="67"/>
      <c r="D7" s="67"/>
      <c r="E7" s="67"/>
      <c r="F7" s="67"/>
      <c r="G7" s="87"/>
      <c r="H7" s="86"/>
      <c r="I7" s="86"/>
    </row>
    <row r="8" customFormat="false" ht="15" hidden="false" customHeight="true" outlineLevel="0" collapsed="false">
      <c r="A8" s="86" t="s">
        <v>797</v>
      </c>
      <c r="B8" s="67" t="n">
        <f aca="false">_Engine_R50!$B$276</f>
        <v>0.194725922850455</v>
      </c>
      <c r="C8" s="218"/>
      <c r="D8" s="218"/>
      <c r="E8" s="218"/>
      <c r="F8" s="218"/>
      <c r="G8" s="86"/>
      <c r="H8" s="86"/>
      <c r="I8" s="86"/>
    </row>
    <row r="9" customFormat="false" ht="15" hidden="false" customHeight="true" outlineLevel="0" collapsed="false">
      <c r="A9" s="86" t="s">
        <v>798</v>
      </c>
      <c r="B9" s="257" t="n">
        <f aca="false">_Engine_R50!$B$250</f>
        <v>449.719089947909</v>
      </c>
      <c r="C9" s="218"/>
      <c r="D9" s="218"/>
      <c r="E9" s="218"/>
      <c r="F9" s="218"/>
      <c r="G9" s="86"/>
      <c r="H9" s="86"/>
      <c r="I9" s="86"/>
    </row>
    <row r="10" customFormat="false" ht="15" hidden="false" customHeight="true" outlineLevel="0" collapsed="false">
      <c r="A10" s="86" t="s">
        <v>799</v>
      </c>
      <c r="B10" s="257" t="n">
        <f aca="false">_Engine_R50!$B$251</f>
        <v>61.683932674371</v>
      </c>
      <c r="C10" s="67"/>
      <c r="D10" s="67"/>
      <c r="E10" s="67"/>
      <c r="F10" s="67"/>
      <c r="G10" s="86"/>
      <c r="H10" s="86"/>
      <c r="I10" s="86"/>
    </row>
    <row r="11" customFormat="false" ht="15" hidden="false" customHeight="true" outlineLevel="0" collapsed="false">
      <c r="A11" s="86" t="s">
        <v>800</v>
      </c>
      <c r="B11" s="68" t="n">
        <f aca="false">_Engine_R50!$B$254</f>
        <v>2.3673408877783</v>
      </c>
      <c r="C11" s="218"/>
      <c r="D11" s="218"/>
      <c r="E11" s="218"/>
      <c r="F11" s="218"/>
      <c r="G11" s="86"/>
      <c r="H11" s="86"/>
      <c r="I11" s="86"/>
    </row>
    <row r="12" customFormat="false" ht="15" hidden="false" customHeight="true" outlineLevel="0" collapsed="false">
      <c r="A12" s="86" t="s">
        <v>801</v>
      </c>
      <c r="B12" s="258" t="n">
        <f aca="false">5*'1. Press Assumptions'!$D$89*1.24-5*'1. Press Assumptions'!$D$89*0.1154*0.5</f>
        <v>147.7875</v>
      </c>
      <c r="C12" s="86"/>
      <c r="D12" s="86"/>
      <c r="E12" s="86"/>
      <c r="F12" s="86"/>
      <c r="G12" s="86"/>
      <c r="H12" s="86"/>
      <c r="I12" s="86"/>
    </row>
    <row r="13" customFormat="false" ht="15" hidden="false" customHeight="true" outlineLevel="0" collapsed="false">
      <c r="A13" s="86" t="s">
        <v>802</v>
      </c>
      <c r="B13" s="67" t="n">
        <f aca="false">'15. Fee Drag'!B22</f>
        <v>0</v>
      </c>
      <c r="C13" s="87"/>
      <c r="D13" s="87"/>
      <c r="E13" s="87"/>
      <c r="F13" s="87"/>
      <c r="G13" s="87"/>
      <c r="H13" s="86"/>
      <c r="I13" s="86"/>
    </row>
    <row r="14" customFormat="false" ht="15" hidden="false" customHeight="true" outlineLevel="0" collapsed="false">
      <c r="A14" s="86"/>
      <c r="B14" s="87"/>
      <c r="C14" s="87"/>
      <c r="D14" s="87"/>
      <c r="E14" s="87"/>
      <c r="F14" s="87"/>
      <c r="G14" s="87"/>
      <c r="H14" s="86"/>
      <c r="I14" s="86"/>
    </row>
    <row r="15" customFormat="false" ht="15" hidden="false" customHeight="true" outlineLevel="0" collapsed="false">
      <c r="A15" s="86"/>
      <c r="B15" s="87"/>
      <c r="C15" s="87"/>
      <c r="D15" s="87"/>
      <c r="E15" s="87"/>
      <c r="F15" s="87"/>
      <c r="G15" s="87"/>
      <c r="H15" s="86"/>
      <c r="I15" s="86"/>
    </row>
    <row r="16" customFormat="false" ht="15" hidden="false" customHeight="true" outlineLevel="0" collapsed="false">
      <c r="A16" s="34" t="s">
        <v>803</v>
      </c>
      <c r="B16" s="247"/>
      <c r="C16" s="247"/>
      <c r="D16" s="247"/>
      <c r="E16" s="247"/>
      <c r="F16" s="247"/>
      <c r="G16" s="247"/>
      <c r="H16" s="86"/>
      <c r="I16" s="86"/>
    </row>
    <row r="17" customFormat="false" ht="15" hidden="false" customHeight="true" outlineLevel="0" collapsed="false">
      <c r="A17" s="9" t="s">
        <v>804</v>
      </c>
      <c r="B17" s="86"/>
      <c r="C17" s="86"/>
      <c r="D17" s="86"/>
      <c r="E17" s="86"/>
      <c r="F17" s="86"/>
      <c r="G17" s="86"/>
      <c r="H17" s="86"/>
      <c r="I17" s="86"/>
    </row>
    <row r="18" customFormat="false" ht="15" hidden="false" customHeight="true" outlineLevel="0" collapsed="false">
      <c r="A18" s="86"/>
      <c r="B18" s="86"/>
      <c r="C18" s="86"/>
      <c r="D18" s="86"/>
      <c r="E18" s="86"/>
      <c r="F18" s="86"/>
      <c r="G18" s="86"/>
      <c r="H18" s="86"/>
      <c r="I18" s="86"/>
    </row>
    <row r="19" customFormat="false" ht="15" hidden="false" customHeight="true" outlineLevel="0" collapsed="false">
      <c r="A19" s="41" t="s">
        <v>805</v>
      </c>
      <c r="B19" s="41" t="s">
        <v>532</v>
      </c>
      <c r="C19" s="41"/>
      <c r="D19" s="41"/>
      <c r="E19" s="86"/>
      <c r="F19" s="86"/>
      <c r="G19" s="86"/>
      <c r="H19" s="86"/>
      <c r="I19" s="86"/>
    </row>
    <row r="20" customFormat="false" ht="15" hidden="false" customHeight="true" outlineLevel="0" collapsed="false">
      <c r="A20" s="86" t="s">
        <v>806</v>
      </c>
      <c r="B20" s="69" t="n">
        <f aca="false">_Engine_R50!B252</f>
        <v>2.9981272663194</v>
      </c>
      <c r="C20" s="69"/>
      <c r="D20" s="69"/>
      <c r="E20" s="86"/>
      <c r="F20" s="86"/>
      <c r="G20" s="86"/>
      <c r="H20" s="86"/>
      <c r="I20" s="86"/>
    </row>
    <row r="21" customFormat="false" ht="15" hidden="false" customHeight="true" outlineLevel="0" collapsed="false">
      <c r="A21" s="86" t="s">
        <v>807</v>
      </c>
      <c r="B21" s="222" t="n">
        <f aca="false">_Engine_R50!B276</f>
        <v>0.194725922850455</v>
      </c>
      <c r="C21" s="222"/>
      <c r="D21" s="222"/>
      <c r="E21" s="86"/>
      <c r="F21" s="86"/>
      <c r="G21" s="86"/>
      <c r="H21" s="86"/>
      <c r="I21" s="86"/>
    </row>
    <row r="22" customFormat="false" ht="15" hidden="false" customHeight="true" outlineLevel="0" collapsed="false">
      <c r="A22" s="86" t="s">
        <v>808</v>
      </c>
      <c r="B22" s="258" t="n">
        <f aca="false">_Engine_R50!B250</f>
        <v>449.719089947909</v>
      </c>
      <c r="C22" s="258"/>
      <c r="D22" s="258"/>
      <c r="E22" s="86"/>
      <c r="F22" s="86"/>
      <c r="G22" s="86"/>
      <c r="H22" s="86"/>
      <c r="I22" s="86"/>
    </row>
    <row r="23" customFormat="false" ht="15" hidden="false" customHeight="true" outlineLevel="0" collapsed="false">
      <c r="A23" s="86"/>
      <c r="B23" s="86"/>
      <c r="C23" s="86"/>
      <c r="D23" s="86"/>
      <c r="E23" s="86"/>
      <c r="F23" s="86"/>
      <c r="G23" s="86"/>
      <c r="H23" s="86"/>
      <c r="I23" s="86"/>
    </row>
    <row r="24" customFormat="false" ht="15" hidden="false" customHeight="true" outlineLevel="0" collapsed="false">
      <c r="A24" s="259" t="s">
        <v>809</v>
      </c>
      <c r="B24" s="86"/>
      <c r="C24" s="86"/>
      <c r="D24" s="86"/>
      <c r="E24" s="86"/>
      <c r="F24" s="86"/>
      <c r="G24" s="86"/>
      <c r="H24" s="86"/>
      <c r="I24" s="86"/>
    </row>
    <row r="25" customFormat="false" ht="15" hidden="false" customHeight="true" outlineLevel="0" collapsed="false">
      <c r="A25" s="9" t="s">
        <v>810</v>
      </c>
      <c r="B25" s="86"/>
      <c r="C25" s="86"/>
      <c r="D25" s="86"/>
      <c r="E25" s="86"/>
      <c r="F25" s="86"/>
      <c r="G25" s="86"/>
      <c r="H25" s="86"/>
      <c r="I25" s="86"/>
    </row>
    <row r="26" customFormat="false" ht="15" hidden="false" customHeight="true" outlineLevel="0" collapsed="false">
      <c r="A26" s="9" t="s">
        <v>811</v>
      </c>
      <c r="B26" s="86"/>
      <c r="C26" s="86"/>
      <c r="D26" s="86"/>
      <c r="E26" s="86"/>
      <c r="F26" s="86"/>
      <c r="G26" s="86"/>
      <c r="H26" s="86"/>
      <c r="I26" s="86"/>
    </row>
    <row r="27" customFormat="false" ht="15" hidden="false" customHeight="true" outlineLevel="0" collapsed="false">
      <c r="A27" s="9" t="s">
        <v>812</v>
      </c>
      <c r="B27" s="86"/>
      <c r="C27" s="86"/>
      <c r="D27" s="86"/>
      <c r="E27" s="86"/>
      <c r="F27" s="86"/>
      <c r="G27" s="86"/>
      <c r="H27" s="86"/>
      <c r="I27" s="86"/>
    </row>
    <row r="28" customFormat="false" ht="15" hidden="false" customHeight="true" outlineLevel="0" collapsed="false">
      <c r="A28" s="86"/>
      <c r="B28" s="86"/>
      <c r="C28" s="86"/>
      <c r="D28" s="86"/>
      <c r="E28" s="86"/>
      <c r="F28" s="86"/>
      <c r="G28" s="86"/>
      <c r="H28" s="86"/>
      <c r="I28" s="86"/>
    </row>
    <row r="29" customFormat="false" ht="15" hidden="false" customHeight="true" outlineLevel="0" collapsed="false">
      <c r="A29" s="34"/>
      <c r="B29" s="216"/>
      <c r="C29" s="216"/>
      <c r="D29" s="216"/>
      <c r="E29" s="216"/>
      <c r="F29" s="216"/>
      <c r="G29" s="216"/>
      <c r="H29" s="86"/>
      <c r="I29" s="86"/>
    </row>
    <row r="30" customFormat="false" ht="15" hidden="false" customHeight="true" outlineLevel="0" collapsed="false">
      <c r="A30" s="220"/>
      <c r="B30" s="86"/>
      <c r="C30" s="86"/>
      <c r="D30" s="86"/>
      <c r="E30" s="86"/>
      <c r="F30" s="86"/>
      <c r="G30" s="86"/>
      <c r="H30" s="86"/>
      <c r="I30" s="86"/>
    </row>
    <row r="31" customFormat="false" ht="15" hidden="false" customHeight="true" outlineLevel="0" collapsed="false">
      <c r="A31" s="9"/>
      <c r="B31" s="86"/>
      <c r="C31" s="86"/>
      <c r="D31" s="86"/>
      <c r="E31" s="86"/>
      <c r="F31" s="86"/>
      <c r="G31" s="86"/>
      <c r="H31" s="86"/>
      <c r="I31" s="86"/>
    </row>
    <row r="32" customFormat="false" ht="15" hidden="false" customHeight="true" outlineLevel="0" collapsed="false">
      <c r="A32" s="9"/>
      <c r="B32" s="86"/>
      <c r="C32" s="86"/>
      <c r="D32" s="86"/>
      <c r="E32" s="86"/>
      <c r="F32" s="86"/>
      <c r="G32" s="86"/>
      <c r="H32" s="86"/>
      <c r="I32" s="86"/>
    </row>
    <row r="33" customFormat="false" ht="15" hidden="false" customHeight="true" outlineLevel="0" collapsed="false">
      <c r="A33" s="86"/>
      <c r="B33" s="86"/>
      <c r="C33" s="86"/>
      <c r="D33" s="86"/>
      <c r="E33" s="86"/>
      <c r="F33" s="86"/>
      <c r="G33" s="86"/>
      <c r="H33" s="86"/>
      <c r="I33" s="86"/>
    </row>
    <row r="34" customFormat="false" ht="15" hidden="false" customHeight="true" outlineLevel="0" collapsed="false">
      <c r="A34" s="86"/>
      <c r="B34" s="86"/>
      <c r="C34" s="86"/>
      <c r="D34" s="86"/>
      <c r="E34" s="86"/>
      <c r="F34" s="86"/>
      <c r="G34" s="86"/>
      <c r="H34" s="86"/>
      <c r="I34" s="86"/>
    </row>
    <row r="35" customFormat="false" ht="15" hidden="false" customHeight="true" outlineLevel="0" collapsed="false">
      <c r="A35" s="86"/>
      <c r="B35" s="86"/>
      <c r="C35" s="86"/>
      <c r="D35" s="86"/>
      <c r="E35" s="86"/>
      <c r="F35" s="86"/>
      <c r="G35" s="86"/>
      <c r="H35" s="86"/>
      <c r="I35" s="86"/>
    </row>
    <row r="36" customFormat="false" ht="15" hidden="false" customHeight="true" outlineLevel="0" collapsed="false">
      <c r="A36" s="86"/>
      <c r="B36" s="86"/>
      <c r="C36" s="86"/>
      <c r="D36" s="86"/>
      <c r="E36" s="86"/>
      <c r="F36" s="86"/>
      <c r="G36" s="86"/>
      <c r="H36" s="86"/>
      <c r="I36" s="86"/>
    </row>
    <row r="37" customFormat="false" ht="15" hidden="false" customHeight="true" outlineLevel="0" collapsed="false">
      <c r="A37" s="86"/>
      <c r="B37" s="86"/>
      <c r="C37" s="86"/>
      <c r="D37" s="86"/>
      <c r="E37" s="86"/>
      <c r="F37" s="86"/>
      <c r="G37" s="86"/>
      <c r="H37" s="86"/>
      <c r="I37" s="86"/>
    </row>
    <row r="38" customFormat="false" ht="15" hidden="false" customHeight="true" outlineLevel="0" collapsed="false">
      <c r="A38" s="86"/>
      <c r="B38" s="86"/>
      <c r="C38" s="86"/>
      <c r="D38" s="86"/>
      <c r="E38" s="86"/>
      <c r="F38" s="86"/>
      <c r="G38" s="86"/>
      <c r="H38" s="86"/>
      <c r="I38" s="86"/>
    </row>
    <row r="39" customFormat="false" ht="15" hidden="false" customHeight="true" outlineLevel="0" collapsed="false">
      <c r="A39" s="86"/>
      <c r="B39" s="86"/>
      <c r="C39" s="86"/>
      <c r="D39" s="86"/>
      <c r="E39" s="86"/>
      <c r="F39" s="86"/>
      <c r="G39" s="86"/>
      <c r="H39" s="86"/>
      <c r="I39" s="86"/>
    </row>
    <row r="40" customFormat="false" ht="15" hidden="false" customHeight="true" outlineLevel="0" collapsed="false">
      <c r="A40" s="86"/>
      <c r="B40" s="86"/>
      <c r="C40" s="86"/>
      <c r="D40" s="86"/>
      <c r="E40" s="86"/>
      <c r="F40" s="86"/>
      <c r="G40" s="86"/>
      <c r="H40" s="86"/>
      <c r="I40" s="86"/>
    </row>
    <row r="41" customFormat="false" ht="15" hidden="false" customHeight="true" outlineLevel="0" collapsed="false">
      <c r="A41" s="86"/>
      <c r="B41" s="86"/>
      <c r="C41" s="86"/>
      <c r="D41" s="86"/>
      <c r="E41" s="86"/>
      <c r="F41" s="86"/>
      <c r="G41" s="86"/>
      <c r="H41" s="86"/>
      <c r="I41" s="86"/>
    </row>
    <row r="42" customFormat="false" ht="15" hidden="false" customHeight="true" outlineLevel="0" collapsed="false">
      <c r="A42" s="86"/>
      <c r="B42" s="86"/>
      <c r="C42" s="86"/>
      <c r="D42" s="86"/>
      <c r="E42" s="86"/>
      <c r="F42" s="86"/>
      <c r="G42" s="86"/>
      <c r="H42" s="86"/>
      <c r="I42" s="86"/>
    </row>
    <row r="43" customFormat="false" ht="15" hidden="false" customHeight="true" outlineLevel="0" collapsed="false">
      <c r="A43" s="86"/>
      <c r="B43" s="86"/>
      <c r="C43" s="86"/>
      <c r="D43" s="86"/>
      <c r="E43" s="86"/>
      <c r="F43" s="86"/>
      <c r="G43" s="86"/>
      <c r="H43" s="86"/>
      <c r="I43" s="86"/>
    </row>
    <row r="44" customFormat="false" ht="15" hidden="false" customHeight="true" outlineLevel="0" collapsed="false">
      <c r="A44" s="86"/>
      <c r="B44" s="86"/>
      <c r="C44" s="86"/>
      <c r="D44" s="86"/>
      <c r="E44" s="86"/>
      <c r="F44" s="86"/>
      <c r="G44" s="86"/>
      <c r="H44" s="86"/>
      <c r="I44" s="86"/>
    </row>
    <row r="45" customFormat="false" ht="15" hidden="false" customHeight="true" outlineLevel="0" collapsed="false">
      <c r="A45" s="86"/>
      <c r="B45" s="86"/>
      <c r="C45" s="86"/>
      <c r="D45" s="86"/>
      <c r="E45" s="86"/>
      <c r="F45" s="86"/>
      <c r="G45" s="86"/>
      <c r="H45" s="86"/>
      <c r="I45" s="86"/>
    </row>
    <row r="46" customFormat="false" ht="15" hidden="false" customHeight="true" outlineLevel="0" collapsed="false">
      <c r="A46" s="86"/>
      <c r="B46" s="86"/>
      <c r="C46" s="86"/>
      <c r="D46" s="86"/>
      <c r="E46" s="86"/>
      <c r="F46" s="86"/>
      <c r="G46" s="86"/>
      <c r="H46" s="86"/>
      <c r="I46" s="86"/>
    </row>
    <row r="47" customFormat="false" ht="15" hidden="false" customHeight="true" outlineLevel="0" collapsed="false">
      <c r="A47" s="86"/>
      <c r="B47" s="86"/>
      <c r="C47" s="86"/>
      <c r="D47" s="86"/>
      <c r="E47" s="86"/>
      <c r="F47" s="86"/>
      <c r="G47" s="86"/>
      <c r="H47" s="86"/>
      <c r="I47" s="86"/>
    </row>
    <row r="48" customFormat="false" ht="15" hidden="false" customHeight="true" outlineLevel="0" collapsed="false">
      <c r="A48" s="86"/>
      <c r="B48" s="86"/>
      <c r="C48" s="86"/>
      <c r="D48" s="86"/>
      <c r="E48" s="86"/>
      <c r="F48" s="86"/>
      <c r="G48" s="86"/>
      <c r="H48" s="86"/>
      <c r="I48" s="86"/>
    </row>
    <row r="49" customFormat="false" ht="15" hidden="false" customHeight="true" outlineLevel="0" collapsed="false">
      <c r="A49" s="86"/>
      <c r="B49" s="86"/>
      <c r="C49" s="86"/>
      <c r="D49" s="86"/>
      <c r="E49" s="86"/>
      <c r="F49" s="86"/>
      <c r="G49" s="86"/>
      <c r="H49" s="86"/>
      <c r="I49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</cols>
  <sheetData>
    <row r="1" customFormat="false" ht="15.75" hidden="false" customHeight="true" outlineLevel="0" collapsed="false">
      <c r="A1" s="225" t="s">
        <v>813</v>
      </c>
      <c r="B1" s="3"/>
      <c r="C1" s="3"/>
    </row>
    <row r="2" customFormat="false" ht="15" hidden="false" customHeight="true" outlineLevel="0" collapsed="false">
      <c r="A2" s="31" t="s">
        <v>814</v>
      </c>
    </row>
    <row r="4" customFormat="false" ht="15" hidden="false" customHeight="true" outlineLevel="0" collapsed="false">
      <c r="A4" s="21" t="s">
        <v>815</v>
      </c>
      <c r="B4" s="3"/>
      <c r="C4" s="3"/>
    </row>
    <row r="5" customFormat="false" ht="15" hidden="false" customHeight="true" outlineLevel="0" collapsed="false">
      <c r="A5" s="43" t="s">
        <v>816</v>
      </c>
      <c r="B5" s="43" t="s">
        <v>817</v>
      </c>
      <c r="C5" s="43" t="s">
        <v>818</v>
      </c>
    </row>
    <row r="6" customFormat="false" ht="15" hidden="false" customHeight="true" outlineLevel="0" collapsed="false">
      <c r="A6" s="17" t="s">
        <v>819</v>
      </c>
      <c r="B6" s="71" t="n">
        <v>1000</v>
      </c>
      <c r="C6" s="71" t="n">
        <v>1300</v>
      </c>
    </row>
    <row r="7" customFormat="false" ht="15" hidden="false" customHeight="true" outlineLevel="0" collapsed="false">
      <c r="A7" s="17" t="s">
        <v>820</v>
      </c>
      <c r="B7" s="71" t="n">
        <v>500</v>
      </c>
      <c r="C7" s="71" t="n">
        <v>650</v>
      </c>
    </row>
    <row r="8" customFormat="false" ht="15" hidden="false" customHeight="true" outlineLevel="0" collapsed="false">
      <c r="A8" s="17" t="s">
        <v>821</v>
      </c>
      <c r="B8" s="71" t="n">
        <v>500</v>
      </c>
      <c r="C8" s="71" t="n">
        <v>650</v>
      </c>
    </row>
    <row r="9" customFormat="false" ht="15" hidden="false" customHeight="true" outlineLevel="0" collapsed="false">
      <c r="A9" s="17" t="s">
        <v>822</v>
      </c>
      <c r="B9" s="71" t="n">
        <v>500</v>
      </c>
      <c r="C9" s="71" t="n">
        <v>650</v>
      </c>
    </row>
    <row r="10" customFormat="false" ht="15" hidden="false" customHeight="true" outlineLevel="0" collapsed="false">
      <c r="A10" s="17" t="s">
        <v>823</v>
      </c>
      <c r="B10" s="71" t="n">
        <v>500</v>
      </c>
      <c r="C10" s="71" t="n">
        <v>650</v>
      </c>
    </row>
    <row r="11" customFormat="false" ht="15" hidden="false" customHeight="true" outlineLevel="0" collapsed="false">
      <c r="A11" s="17" t="s">
        <v>824</v>
      </c>
      <c r="B11" s="71" t="n">
        <v>500</v>
      </c>
      <c r="C11" s="71" t="n">
        <v>650</v>
      </c>
    </row>
    <row r="12" customFormat="false" ht="15" hidden="false" customHeight="true" outlineLevel="0" collapsed="false">
      <c r="A12" s="17" t="s">
        <v>825</v>
      </c>
      <c r="B12" s="71" t="n">
        <v>250</v>
      </c>
      <c r="C12" s="71" t="n">
        <v>325</v>
      </c>
    </row>
    <row r="13" customFormat="false" ht="15" hidden="false" customHeight="true" outlineLevel="0" collapsed="false">
      <c r="A13" s="17" t="s">
        <v>826</v>
      </c>
      <c r="B13" s="71" t="n">
        <v>250</v>
      </c>
      <c r="C13" s="71" t="n">
        <v>325</v>
      </c>
    </row>
    <row r="14" customFormat="false" ht="15" hidden="false" customHeight="true" outlineLevel="0" collapsed="false">
      <c r="A14" s="17" t="s">
        <v>827</v>
      </c>
      <c r="B14" s="71" t="n">
        <v>250</v>
      </c>
      <c r="C14" s="71" t="n">
        <v>325</v>
      </c>
    </row>
    <row r="15" customFormat="false" ht="15" hidden="false" customHeight="true" outlineLevel="0" collapsed="false">
      <c r="A15" s="260" t="s">
        <v>828</v>
      </c>
      <c r="B15" s="261" t="n">
        <v>250</v>
      </c>
      <c r="C15" s="261" t="n">
        <v>325</v>
      </c>
    </row>
    <row r="16" customFormat="false" ht="15" hidden="false" customHeight="true" outlineLevel="0" collapsed="false">
      <c r="A16" s="17" t="s">
        <v>829</v>
      </c>
      <c r="B16" s="71" t="n">
        <v>250</v>
      </c>
      <c r="C16" s="71" t="n">
        <v>325</v>
      </c>
    </row>
    <row r="17" customFormat="false" ht="15" hidden="false" customHeight="true" outlineLevel="0" collapsed="false">
      <c r="A17" s="17" t="s">
        <v>830</v>
      </c>
      <c r="B17" s="71" t="n">
        <v>125</v>
      </c>
      <c r="C17" s="71" t="n">
        <v>162</v>
      </c>
    </row>
    <row r="18" customFormat="false" ht="15" hidden="false" customHeight="true" outlineLevel="0" collapsed="false">
      <c r="A18" s="17" t="s">
        <v>831</v>
      </c>
      <c r="B18" s="71" t="n">
        <v>125</v>
      </c>
      <c r="C18" s="71" t="n">
        <v>162</v>
      </c>
    </row>
    <row r="19" customFormat="false" ht="15" hidden="false" customHeight="true" outlineLevel="0" collapsed="false">
      <c r="A19" s="17" t="s">
        <v>832</v>
      </c>
      <c r="B19" s="71" t="n">
        <v>125</v>
      </c>
      <c r="C19" s="71" t="n">
        <v>162</v>
      </c>
    </row>
    <row r="20" customFormat="false" ht="15" hidden="false" customHeight="true" outlineLevel="0" collapsed="false">
      <c r="A20" s="17" t="s">
        <v>833</v>
      </c>
      <c r="B20" s="71" t="n">
        <v>125</v>
      </c>
      <c r="C20" s="71" t="n">
        <v>162</v>
      </c>
    </row>
    <row r="21" customFormat="false" ht="15" hidden="false" customHeight="true" outlineLevel="0" collapsed="false">
      <c r="A21" s="17" t="s">
        <v>834</v>
      </c>
      <c r="B21" s="71" t="n">
        <v>125</v>
      </c>
      <c r="C21" s="71" t="n">
        <v>162</v>
      </c>
    </row>
    <row r="22" customFormat="false" ht="15" hidden="false" customHeight="true" outlineLevel="0" collapsed="false">
      <c r="A22" s="17" t="s">
        <v>835</v>
      </c>
      <c r="B22" s="71" t="n">
        <v>125</v>
      </c>
      <c r="C22" s="71" t="n">
        <v>162</v>
      </c>
    </row>
    <row r="23" customFormat="false" ht="15" hidden="false" customHeight="true" outlineLevel="0" collapsed="false">
      <c r="A23" s="17" t="s">
        <v>836</v>
      </c>
      <c r="B23" s="71" t="n">
        <v>125</v>
      </c>
      <c r="C23" s="71" t="n">
        <v>162</v>
      </c>
    </row>
    <row r="24" customFormat="false" ht="15" hidden="false" customHeight="true" outlineLevel="0" collapsed="false">
      <c r="A24" s="17" t="s">
        <v>837</v>
      </c>
      <c r="B24" s="71" t="n">
        <v>125</v>
      </c>
      <c r="C24" s="71" t="n">
        <v>162</v>
      </c>
    </row>
    <row r="25" customFormat="false" ht="15" hidden="false" customHeight="true" outlineLevel="0" collapsed="false">
      <c r="A25" s="17" t="s">
        <v>838</v>
      </c>
      <c r="B25" s="71" t="n">
        <v>125</v>
      </c>
      <c r="C25" s="71" t="n">
        <v>162</v>
      </c>
    </row>
    <row r="27" customFormat="false" ht="15" hidden="false" customHeight="true" outlineLevel="0" collapsed="false">
      <c r="A27" s="171" t="s">
        <v>218</v>
      </c>
      <c r="B27" s="262" t="n">
        <v>5875</v>
      </c>
      <c r="C27" s="262" t="n">
        <v>7637</v>
      </c>
    </row>
    <row r="29" customFormat="false" ht="15" hidden="false" customHeight="true" outlineLevel="0" collapsed="false">
      <c r="A29" s="9" t="s">
        <v>839</v>
      </c>
    </row>
    <row r="30" customFormat="false" ht="15" hidden="false" customHeight="true" outlineLevel="0" collapsed="false">
      <c r="A30" s="9" t="s">
        <v>840</v>
      </c>
    </row>
    <row r="31" customFormat="false" ht="15" hidden="false" customHeight="true" outlineLevel="0" collapsed="false">
      <c r="A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9" min="2" style="1" width="12"/>
  </cols>
  <sheetData>
    <row r="1" customFormat="false" ht="15.75" hidden="false" customHeight="true" outlineLevel="0" collapsed="false">
      <c r="A1" s="225" t="s">
        <v>841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9" t="s">
        <v>842</v>
      </c>
    </row>
    <row r="4" customFormat="false" ht="15" hidden="false" customHeight="true" outlineLevel="0" collapsed="false">
      <c r="A4" s="44" t="s">
        <v>217</v>
      </c>
      <c r="B4" s="43" t="s">
        <v>436</v>
      </c>
      <c r="C4" s="43" t="s">
        <v>437</v>
      </c>
      <c r="D4" s="43" t="s">
        <v>438</v>
      </c>
      <c r="E4" s="43" t="s">
        <v>439</v>
      </c>
      <c r="F4" s="43" t="s">
        <v>440</v>
      </c>
      <c r="G4" s="43" t="s">
        <v>441</v>
      </c>
      <c r="H4" s="43" t="s">
        <v>442</v>
      </c>
      <c r="I4" s="43" t="s">
        <v>443</v>
      </c>
      <c r="J4" s="43" t="s">
        <v>444</v>
      </c>
      <c r="K4" s="43" t="s">
        <v>445</v>
      </c>
      <c r="L4" s="43" t="s">
        <v>446</v>
      </c>
      <c r="M4" s="43" t="s">
        <v>447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</row>
    <row r="5" customFormat="false" ht="15" hidden="false" customHeight="true" outlineLevel="0" collapsed="false">
      <c r="A5" s="18" t="s">
        <v>843</v>
      </c>
      <c r="B5" s="45" t="n">
        <f aca="false">SUM(_Engine_R50!Y31:Y33)</f>
        <v>0</v>
      </c>
      <c r="C5" s="45" t="n">
        <f aca="false">SUM(_Engine_R50!Y34:Y36)</f>
        <v>0.210545807211623</v>
      </c>
      <c r="D5" s="45" t="n">
        <f aca="false">SUM(_Engine_R50!Y37:Y39)</f>
        <v>0.985564467898759</v>
      </c>
      <c r="E5" s="45" t="n">
        <f aca="false">SUM(_Engine_R50!Y40:Y42)</f>
        <v>1.78693808894622</v>
      </c>
      <c r="F5" s="45" t="n">
        <f aca="false">SUM(_Engine_R50!Y43:Y45)</f>
        <v>4.0126105592236</v>
      </c>
      <c r="G5" s="45" t="n">
        <f aca="false">SUM(_Engine_R50!Y46:Y48)</f>
        <v>4.43641552345255</v>
      </c>
      <c r="H5" s="45" t="n">
        <f aca="false">SUM(_Engine_R50!Y49:Y51)</f>
        <v>6.86036624942658</v>
      </c>
      <c r="I5" s="45" t="n">
        <f aca="false">SUM(_Engine_R50!Y52:Y54)</f>
        <v>7.08579363756432</v>
      </c>
      <c r="J5" s="45" t="n">
        <f aca="false">SUM(_Engine_R50!Y55:Y57)</f>
        <v>7.0547013092911</v>
      </c>
      <c r="K5" s="45" t="n">
        <f aca="false">SUM(_Engine_R50!Y58:Y60)</f>
        <v>6.99854370555761</v>
      </c>
      <c r="L5" s="45" t="n">
        <f aca="false">SUM(_Engine_R50!Y61:Y63)</f>
        <v>3.40556315441772</v>
      </c>
      <c r="M5" s="45" t="n">
        <f aca="false">SUM(_Engine_R50!Y64:Y66)</f>
        <v>0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177"/>
    </row>
    <row r="6" customFormat="false" ht="15" hidden="false" customHeight="true" outlineLevel="0" collapsed="false">
      <c r="A6" s="18" t="s">
        <v>844</v>
      </c>
      <c r="B6" s="45" t="n">
        <f aca="false">IF(AND('1. Press Assumptions'!$K$93&gt;=1,'1. Press Assumptions'!$K$93&lt;=3), '1. Press Assumptions'!$D$93*'1. Press Assumptions'!$E$93-'1. Press Assumptions'!$D$93*0.1154*0.5, 0)</f>
        <v>0</v>
      </c>
      <c r="C6" s="45" t="n">
        <f aca="false">IF(AND('1. Press Assumptions'!$K$93&gt;=4,'1. Press Assumptions'!$K$93&lt;=6), '1. Press Assumptions'!$D$93*'1. Press Assumptions'!$E$93-'1. Press Assumptions'!$D$93*0.1154*0.5, 0)</f>
        <v>0</v>
      </c>
      <c r="D6" s="45" t="n">
        <f aca="false">IF(AND('1. Press Assumptions'!$K$93&gt;=7,'1. Press Assumptions'!$K$93&lt;=9), '1. Press Assumptions'!$D$93*'1. Press Assumptions'!$E$93-'1. Press Assumptions'!$D$93*0.1154*0.5, 0)</f>
        <v>0</v>
      </c>
      <c r="E6" s="45" t="n">
        <f aca="false">IF(AND('1. Press Assumptions'!$K$93&gt;=10,'1. Press Assumptions'!$K$93&lt;=12), '1. Press Assumptions'!$D$93*'1. Press Assumptions'!$E$93-'1. Press Assumptions'!$D$93*0.1154*0.5, 0)</f>
        <v>0</v>
      </c>
      <c r="F6" s="45" t="n">
        <f aca="false">IF(AND('1. Press Assumptions'!$K$93&gt;=13,'1. Press Assumptions'!$K$93&lt;=15), '1. Press Assumptions'!$D$93*'1. Press Assumptions'!$E$93-'1. Press Assumptions'!$D$93*0.1154*0.5, 0)</f>
        <v>0</v>
      </c>
      <c r="G6" s="45" t="n">
        <f aca="false">IF(AND('1. Press Assumptions'!$K$93&gt;=16,'1. Press Assumptions'!$K$93&lt;=18), '1. Press Assumptions'!$D$93*'1. Press Assumptions'!$E$93-'1. Press Assumptions'!$D$93*0.1154*0.5, 0)</f>
        <v>0</v>
      </c>
      <c r="H6" s="45" t="n">
        <f aca="false">IF(AND('1. Press Assumptions'!$K$93&gt;=19,'1. Press Assumptions'!$K$93&lt;=21), '1. Press Assumptions'!$D$93*'1. Press Assumptions'!$E$93-'1. Press Assumptions'!$D$93*0.1154*0.5, 0)</f>
        <v>0</v>
      </c>
      <c r="I6" s="45" t="n">
        <f aca="false">IF(AND('1. Press Assumptions'!$K$93&gt;=22,'1. Press Assumptions'!$K$93&lt;=24), '1. Press Assumptions'!$D$93*'1. Press Assumptions'!$E$93-'1. Press Assumptions'!$D$93*0.1154*0.5, 0)</f>
        <v>0</v>
      </c>
      <c r="J6" s="45" t="n">
        <f aca="false">IF(AND('1. Press Assumptions'!$K$93&gt;=25,'1. Press Assumptions'!$K$93&lt;=27), '1. Press Assumptions'!$D$93*'1. Press Assumptions'!$E$93-'1. Press Assumptions'!$D$93*0.1154*0.5, 0)</f>
        <v>0</v>
      </c>
      <c r="K6" s="45" t="n">
        <f aca="false">IF(AND('1. Press Assumptions'!$K$93&gt;=28,'1. Press Assumptions'!$K$93&lt;=30), '1. Press Assumptions'!$D$93*'1. Press Assumptions'!$E$93-'1. Press Assumptions'!$D$93*0.1154*0.5, 0)</f>
        <v>0</v>
      </c>
      <c r="L6" s="45" t="n">
        <f aca="false">IF(AND('1. Press Assumptions'!$K$93&gt;=31,'1. Press Assumptions'!$K$93&lt;=33), '1. Press Assumptions'!$D$93*'1. Press Assumptions'!$E$93-'1. Press Assumptions'!$D$93*0.1154*0.5, 0)</f>
        <v>34.9614</v>
      </c>
      <c r="M6" s="45" t="n">
        <f aca="false">IF(AND('1. Press Assumptions'!$K$93&gt;=34,'1. Press Assumptions'!$K$93&lt;=36), '1. Press Assumptions'!$D$93*'1. Press Assumptions'!$E$93-'1. Press Assumptions'!$D$93*0.1154*0.5, 0)</f>
        <v>0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177"/>
    </row>
    <row r="7" customFormat="false" ht="15" hidden="false" customHeight="true" outlineLevel="0" collapsed="false">
      <c r="A7" s="18" t="s">
        <v>845</v>
      </c>
      <c r="B7" s="263" t="n">
        <f aca="false">B5-B6</f>
        <v>0</v>
      </c>
      <c r="C7" s="263" t="n">
        <f aca="false">B7+C5-C6</f>
        <v>0.210545807211623</v>
      </c>
      <c r="D7" s="263" t="n">
        <f aca="false">C7+D5-D6</f>
        <v>1.19611027511038</v>
      </c>
      <c r="E7" s="263" t="n">
        <f aca="false">D7+E5-E6</f>
        <v>2.9830483640566</v>
      </c>
      <c r="F7" s="264" t="n">
        <f aca="false">E7+F5-F6</f>
        <v>6.99565892328021</v>
      </c>
      <c r="G7" s="264" t="n">
        <f aca="false">F7+G5-G6</f>
        <v>11.4320744467328</v>
      </c>
      <c r="H7" s="264" t="n">
        <f aca="false">G7+H5-H6</f>
        <v>18.2924406961593</v>
      </c>
      <c r="I7" s="264" t="n">
        <f aca="false">H7+I5-I6</f>
        <v>25.3782343337237</v>
      </c>
      <c r="J7" s="264" t="n">
        <f aca="false">I7+J5-J6</f>
        <v>32.4329356430147</v>
      </c>
      <c r="K7" s="264" t="n">
        <f aca="false">J7+K5-K6</f>
        <v>39.4314793485724</v>
      </c>
      <c r="L7" s="264" t="n">
        <f aca="false">K7+L5-L6</f>
        <v>7.87564250299008</v>
      </c>
      <c r="M7" s="264" t="n">
        <f aca="false">L7+M5-M6</f>
        <v>7.87564250299008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177"/>
    </row>
    <row r="8" customFormat="false" ht="15" hidden="false" customHeight="true" outlineLevel="0" collapsed="false">
      <c r="A8" s="17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177"/>
    </row>
    <row r="9" customFormat="false" ht="15" hidden="false" customHeight="true" outlineLevel="0" collapsed="false">
      <c r="A9" s="18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177"/>
    </row>
    <row r="11" customFormat="false" ht="15" hidden="false" customHeight="true" outlineLevel="0" collapsed="false">
      <c r="A11" s="18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177"/>
    </row>
    <row r="12" customFormat="false" ht="15" hidden="false" customHeight="true" outlineLevel="0" collapsed="false">
      <c r="A12" s="18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177"/>
    </row>
    <row r="13" customFormat="false" ht="15" hidden="false" customHeight="true" outlineLevel="0" collapsed="false">
      <c r="A13" s="18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177"/>
    </row>
    <row r="16" customFormat="false" ht="15" hidden="false" customHeight="true" outlineLevel="0" collapsed="false">
      <c r="A16" s="19"/>
    </row>
    <row r="17" customFormat="false" ht="15" hidden="false" customHeight="true" outlineLevel="0" collapsed="false">
      <c r="A1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18" min="4" style="1" width="13"/>
  </cols>
  <sheetData>
    <row r="1" customFormat="false" ht="15.75" hidden="false" customHeight="true" outlineLevel="0" collapsed="false">
      <c r="A1" s="225" t="s">
        <v>846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" hidden="false" customHeight="true" outlineLevel="0" collapsed="false">
      <c r="A2" s="19" t="s">
        <v>847</v>
      </c>
    </row>
    <row r="3" customFormat="false" ht="15" hidden="false" customHeight="true" outlineLevel="0" collapsed="false">
      <c r="A3" s="31" t="s">
        <v>848</v>
      </c>
    </row>
    <row r="4" customFormat="false" ht="15" hidden="false" customHeight="true" outlineLevel="0" collapsed="false">
      <c r="A4" s="44" t="s">
        <v>816</v>
      </c>
      <c r="B4" s="43" t="s">
        <v>817</v>
      </c>
      <c r="C4" s="43" t="s">
        <v>849</v>
      </c>
      <c r="D4" s="43" t="s">
        <v>219</v>
      </c>
      <c r="E4" s="43" t="s">
        <v>220</v>
      </c>
      <c r="F4" s="43" t="s">
        <v>221</v>
      </c>
      <c r="G4" s="43" t="s">
        <v>222</v>
      </c>
      <c r="H4" s="43" t="s">
        <v>223</v>
      </c>
      <c r="I4" s="43" t="s">
        <v>224</v>
      </c>
      <c r="J4" s="43" t="s">
        <v>225</v>
      </c>
      <c r="K4" s="43" t="s">
        <v>226</v>
      </c>
      <c r="L4" s="43" t="s">
        <v>227</v>
      </c>
      <c r="M4" s="43" t="s">
        <v>228</v>
      </c>
      <c r="N4" s="43" t="s">
        <v>229</v>
      </c>
      <c r="O4" s="43" t="s">
        <v>230</v>
      </c>
      <c r="P4" s="43" t="s">
        <v>231</v>
      </c>
      <c r="Q4" s="43" t="s">
        <v>232</v>
      </c>
      <c r="R4" s="43" t="s">
        <v>233</v>
      </c>
    </row>
    <row r="5" customFormat="false" ht="15" hidden="false" customHeight="true" outlineLevel="0" collapsed="false">
      <c r="A5" s="17" t="s">
        <v>819</v>
      </c>
      <c r="B5" s="71" t="n">
        <v>1000</v>
      </c>
      <c r="C5" s="104" t="s">
        <v>253</v>
      </c>
      <c r="D5" s="265" t="n">
        <v>1300</v>
      </c>
      <c r="E5" s="266" t="n">
        <v>1950</v>
      </c>
      <c r="F5" s="265" t="n">
        <v>3291</v>
      </c>
      <c r="G5" s="266" t="n">
        <v>3130</v>
      </c>
      <c r="H5" s="265" t="n">
        <v>2979</v>
      </c>
      <c r="I5" s="266" t="n">
        <v>2878</v>
      </c>
      <c r="J5" s="265" t="n">
        <v>2817</v>
      </c>
      <c r="K5" s="266" t="n">
        <v>2791</v>
      </c>
      <c r="L5" s="265" t="n">
        <v>2794</v>
      </c>
      <c r="M5" s="266" t="n">
        <v>2822</v>
      </c>
      <c r="N5" s="265" t="n">
        <v>2871</v>
      </c>
      <c r="O5" s="266" t="n">
        <v>2940</v>
      </c>
      <c r="P5" s="265" t="n">
        <v>3025</v>
      </c>
      <c r="Q5" s="266" t="n">
        <v>3126</v>
      </c>
      <c r="R5" s="265" t="n">
        <v>3241</v>
      </c>
    </row>
    <row r="6" customFormat="false" ht="15" hidden="false" customHeight="true" outlineLevel="0" collapsed="false">
      <c r="A6" s="17" t="s">
        <v>820</v>
      </c>
      <c r="B6" s="71" t="n">
        <v>500</v>
      </c>
      <c r="C6" s="104" t="s">
        <v>253</v>
      </c>
      <c r="D6" s="265" t="n">
        <v>650</v>
      </c>
      <c r="E6" s="266" t="n">
        <v>975</v>
      </c>
      <c r="F6" s="265" t="n">
        <v>1646</v>
      </c>
      <c r="G6" s="266" t="n">
        <v>1565</v>
      </c>
      <c r="H6" s="265" t="n">
        <v>1490</v>
      </c>
      <c r="I6" s="266" t="n">
        <v>1439</v>
      </c>
      <c r="J6" s="265" t="n">
        <v>1408</v>
      </c>
      <c r="K6" s="266" t="n">
        <v>1395</v>
      </c>
      <c r="L6" s="265" t="n">
        <v>1397</v>
      </c>
      <c r="M6" s="266" t="n">
        <v>1411</v>
      </c>
      <c r="N6" s="265" t="n">
        <v>1436</v>
      </c>
      <c r="O6" s="266" t="n">
        <v>1470</v>
      </c>
      <c r="P6" s="265" t="n">
        <v>1513</v>
      </c>
      <c r="Q6" s="266" t="n">
        <v>1563</v>
      </c>
      <c r="R6" s="265" t="n">
        <v>1620</v>
      </c>
    </row>
    <row r="7" customFormat="false" ht="15" hidden="false" customHeight="true" outlineLevel="0" collapsed="false">
      <c r="A7" s="17" t="s">
        <v>821</v>
      </c>
      <c r="B7" s="71" t="n">
        <v>500</v>
      </c>
      <c r="C7" s="104" t="s">
        <v>119</v>
      </c>
      <c r="D7" s="265" t="n">
        <v>488</v>
      </c>
      <c r="E7" s="266" t="n">
        <v>975</v>
      </c>
      <c r="F7" s="265" t="n">
        <v>1646</v>
      </c>
      <c r="G7" s="266" t="n">
        <v>1565</v>
      </c>
      <c r="H7" s="265" t="n">
        <v>1490</v>
      </c>
      <c r="I7" s="266" t="n">
        <v>1439</v>
      </c>
      <c r="J7" s="265" t="n">
        <v>1408</v>
      </c>
      <c r="K7" s="266" t="n">
        <v>1395</v>
      </c>
      <c r="L7" s="265" t="n">
        <v>1397</v>
      </c>
      <c r="M7" s="266" t="n">
        <v>1411</v>
      </c>
      <c r="N7" s="265" t="n">
        <v>1436</v>
      </c>
      <c r="O7" s="266" t="n">
        <v>1470</v>
      </c>
      <c r="P7" s="265" t="n">
        <v>1513</v>
      </c>
      <c r="Q7" s="266" t="n">
        <v>1563</v>
      </c>
      <c r="R7" s="265" t="n">
        <v>1620</v>
      </c>
    </row>
    <row r="8" customFormat="false" ht="15" hidden="false" customHeight="true" outlineLevel="0" collapsed="false">
      <c r="A8" s="17" t="s">
        <v>822</v>
      </c>
      <c r="B8" s="71" t="n">
        <v>500</v>
      </c>
      <c r="C8" s="104" t="s">
        <v>119</v>
      </c>
      <c r="D8" s="265" t="n">
        <v>488</v>
      </c>
      <c r="E8" s="266" t="n">
        <v>975</v>
      </c>
      <c r="F8" s="265" t="n">
        <v>1646</v>
      </c>
      <c r="G8" s="266" t="n">
        <v>1565</v>
      </c>
      <c r="H8" s="265" t="n">
        <v>1490</v>
      </c>
      <c r="I8" s="266" t="n">
        <v>1439</v>
      </c>
      <c r="J8" s="265" t="n">
        <v>1408</v>
      </c>
      <c r="K8" s="266" t="n">
        <v>1395</v>
      </c>
      <c r="L8" s="265" t="n">
        <v>1397</v>
      </c>
      <c r="M8" s="266" t="n">
        <v>1411</v>
      </c>
      <c r="N8" s="265" t="n">
        <v>1436</v>
      </c>
      <c r="O8" s="266" t="n">
        <v>1470</v>
      </c>
      <c r="P8" s="265" t="n">
        <v>1513</v>
      </c>
      <c r="Q8" s="266" t="n">
        <v>1563</v>
      </c>
      <c r="R8" s="265" t="n">
        <v>1620</v>
      </c>
    </row>
    <row r="9" customFormat="false" ht="15" hidden="false" customHeight="true" outlineLevel="0" collapsed="false">
      <c r="A9" s="17" t="s">
        <v>823</v>
      </c>
      <c r="B9" s="71" t="n">
        <v>500</v>
      </c>
      <c r="C9" s="104" t="s">
        <v>119</v>
      </c>
      <c r="D9" s="265" t="n">
        <v>488</v>
      </c>
      <c r="E9" s="266" t="n">
        <v>975</v>
      </c>
      <c r="F9" s="265" t="n">
        <v>1646</v>
      </c>
      <c r="G9" s="266" t="n">
        <v>1565</v>
      </c>
      <c r="H9" s="265" t="n">
        <v>1490</v>
      </c>
      <c r="I9" s="266" t="n">
        <v>1439</v>
      </c>
      <c r="J9" s="265" t="n">
        <v>1408</v>
      </c>
      <c r="K9" s="266" t="n">
        <v>1395</v>
      </c>
      <c r="L9" s="265" t="n">
        <v>1397</v>
      </c>
      <c r="M9" s="266" t="n">
        <v>1411</v>
      </c>
      <c r="N9" s="265" t="n">
        <v>1436</v>
      </c>
      <c r="O9" s="266" t="n">
        <v>1470</v>
      </c>
      <c r="P9" s="265" t="n">
        <v>1513</v>
      </c>
      <c r="Q9" s="266" t="n">
        <v>1563</v>
      </c>
      <c r="R9" s="265" t="n">
        <v>1620</v>
      </c>
    </row>
    <row r="10" customFormat="false" ht="15" hidden="false" customHeight="true" outlineLevel="0" collapsed="false">
      <c r="A10" s="17" t="s">
        <v>824</v>
      </c>
      <c r="B10" s="71" t="n">
        <v>500</v>
      </c>
      <c r="C10" s="104" t="s">
        <v>122</v>
      </c>
      <c r="D10" s="265" t="n">
        <v>325</v>
      </c>
      <c r="E10" s="266" t="n">
        <v>975</v>
      </c>
      <c r="F10" s="265" t="n">
        <v>1646</v>
      </c>
      <c r="G10" s="266" t="n">
        <v>1565</v>
      </c>
      <c r="H10" s="265" t="n">
        <v>1490</v>
      </c>
      <c r="I10" s="266" t="n">
        <v>1439</v>
      </c>
      <c r="J10" s="265" t="n">
        <v>1408</v>
      </c>
      <c r="K10" s="266" t="n">
        <v>1395</v>
      </c>
      <c r="L10" s="265" t="n">
        <v>1397</v>
      </c>
      <c r="M10" s="266" t="n">
        <v>1411</v>
      </c>
      <c r="N10" s="265" t="n">
        <v>1436</v>
      </c>
      <c r="O10" s="266" t="n">
        <v>1470</v>
      </c>
      <c r="P10" s="265" t="n">
        <v>1513</v>
      </c>
      <c r="Q10" s="266" t="n">
        <v>1563</v>
      </c>
      <c r="R10" s="265" t="n">
        <v>1620</v>
      </c>
    </row>
    <row r="11" customFormat="false" ht="15" hidden="false" customHeight="true" outlineLevel="0" collapsed="false">
      <c r="A11" s="17" t="s">
        <v>850</v>
      </c>
      <c r="B11" s="71" t="n">
        <v>250</v>
      </c>
      <c r="C11" s="104" t="s">
        <v>119</v>
      </c>
      <c r="D11" s="265" t="n">
        <v>244</v>
      </c>
      <c r="E11" s="266" t="n">
        <v>488</v>
      </c>
      <c r="F11" s="265" t="n">
        <v>823</v>
      </c>
      <c r="G11" s="266" t="n">
        <v>783</v>
      </c>
      <c r="H11" s="265" t="n">
        <v>745</v>
      </c>
      <c r="I11" s="266" t="n">
        <v>719</v>
      </c>
      <c r="J11" s="265" t="n">
        <v>704</v>
      </c>
      <c r="K11" s="266" t="n">
        <v>698</v>
      </c>
      <c r="L11" s="265" t="n">
        <v>698</v>
      </c>
      <c r="M11" s="266" t="n">
        <v>705</v>
      </c>
      <c r="N11" s="265" t="n">
        <v>718</v>
      </c>
      <c r="O11" s="266" t="n">
        <v>735</v>
      </c>
      <c r="P11" s="265" t="n">
        <v>756</v>
      </c>
      <c r="Q11" s="266" t="n">
        <v>781</v>
      </c>
      <c r="R11" s="265" t="n">
        <v>810</v>
      </c>
    </row>
    <row r="12" customFormat="false" ht="15" hidden="false" customHeight="true" outlineLevel="0" collapsed="false">
      <c r="A12" s="17" t="s">
        <v>851</v>
      </c>
      <c r="B12" s="71" t="n">
        <v>250</v>
      </c>
      <c r="C12" s="104" t="s">
        <v>119</v>
      </c>
      <c r="D12" s="265" t="n">
        <v>244</v>
      </c>
      <c r="E12" s="266" t="n">
        <v>488</v>
      </c>
      <c r="F12" s="265" t="n">
        <v>823</v>
      </c>
      <c r="G12" s="266" t="n">
        <v>783</v>
      </c>
      <c r="H12" s="265" t="n">
        <v>745</v>
      </c>
      <c r="I12" s="266" t="n">
        <v>719</v>
      </c>
      <c r="J12" s="265" t="n">
        <v>704</v>
      </c>
      <c r="K12" s="266" t="n">
        <v>698</v>
      </c>
      <c r="L12" s="265" t="n">
        <v>698</v>
      </c>
      <c r="M12" s="266" t="n">
        <v>705</v>
      </c>
      <c r="N12" s="265" t="n">
        <v>718</v>
      </c>
      <c r="O12" s="266" t="n">
        <v>735</v>
      </c>
      <c r="P12" s="265" t="n">
        <v>756</v>
      </c>
      <c r="Q12" s="266" t="n">
        <v>781</v>
      </c>
      <c r="R12" s="265" t="n">
        <v>810</v>
      </c>
    </row>
    <row r="13" customFormat="false" ht="15" hidden="false" customHeight="true" outlineLevel="0" collapsed="false">
      <c r="A13" s="17" t="s">
        <v>852</v>
      </c>
      <c r="B13" s="71" t="n">
        <v>250</v>
      </c>
      <c r="C13" s="104" t="s">
        <v>119</v>
      </c>
      <c r="D13" s="265" t="n">
        <v>244</v>
      </c>
      <c r="E13" s="266" t="n">
        <v>488</v>
      </c>
      <c r="F13" s="265" t="n">
        <v>823</v>
      </c>
      <c r="G13" s="266" t="n">
        <v>783</v>
      </c>
      <c r="H13" s="265" t="n">
        <v>745</v>
      </c>
      <c r="I13" s="266" t="n">
        <v>719</v>
      </c>
      <c r="J13" s="265" t="n">
        <v>704</v>
      </c>
      <c r="K13" s="266" t="n">
        <v>698</v>
      </c>
      <c r="L13" s="265" t="n">
        <v>698</v>
      </c>
      <c r="M13" s="266" t="n">
        <v>705</v>
      </c>
      <c r="N13" s="265" t="n">
        <v>718</v>
      </c>
      <c r="O13" s="266" t="n">
        <v>735</v>
      </c>
      <c r="P13" s="265" t="n">
        <v>756</v>
      </c>
      <c r="Q13" s="266" t="n">
        <v>781</v>
      </c>
      <c r="R13" s="265" t="n">
        <v>810</v>
      </c>
    </row>
    <row r="14" customFormat="false" ht="15" hidden="false" customHeight="true" outlineLevel="0" collapsed="false">
      <c r="A14" s="17" t="s">
        <v>853</v>
      </c>
      <c r="B14" s="71" t="n">
        <v>250</v>
      </c>
      <c r="C14" s="104" t="s">
        <v>122</v>
      </c>
      <c r="D14" s="265" t="n">
        <v>162</v>
      </c>
      <c r="E14" s="266" t="n">
        <v>488</v>
      </c>
      <c r="F14" s="265" t="n">
        <v>823</v>
      </c>
      <c r="G14" s="266" t="n">
        <v>783</v>
      </c>
      <c r="H14" s="265" t="n">
        <v>745</v>
      </c>
      <c r="I14" s="266" t="n">
        <v>719</v>
      </c>
      <c r="J14" s="265" t="n">
        <v>704</v>
      </c>
      <c r="K14" s="266" t="n">
        <v>698</v>
      </c>
      <c r="L14" s="265" t="n">
        <v>698</v>
      </c>
      <c r="M14" s="266" t="n">
        <v>705</v>
      </c>
      <c r="N14" s="265" t="n">
        <v>718</v>
      </c>
      <c r="O14" s="266" t="n">
        <v>735</v>
      </c>
      <c r="P14" s="265" t="n">
        <v>756</v>
      </c>
      <c r="Q14" s="266" t="n">
        <v>781</v>
      </c>
      <c r="R14" s="265" t="n">
        <v>810</v>
      </c>
    </row>
    <row r="15" customFormat="false" ht="15" hidden="false" customHeight="true" outlineLevel="0" collapsed="false">
      <c r="A15" s="17" t="s">
        <v>854</v>
      </c>
      <c r="B15" s="71" t="n">
        <v>250</v>
      </c>
      <c r="C15" s="104" t="s">
        <v>122</v>
      </c>
      <c r="D15" s="265" t="n">
        <v>162</v>
      </c>
      <c r="E15" s="266" t="n">
        <v>488</v>
      </c>
      <c r="F15" s="265" t="n">
        <v>823</v>
      </c>
      <c r="G15" s="266" t="n">
        <v>783</v>
      </c>
      <c r="H15" s="265" t="n">
        <v>745</v>
      </c>
      <c r="I15" s="266" t="n">
        <v>719</v>
      </c>
      <c r="J15" s="265" t="n">
        <v>704</v>
      </c>
      <c r="K15" s="266" t="n">
        <v>698</v>
      </c>
      <c r="L15" s="265" t="n">
        <v>698</v>
      </c>
      <c r="M15" s="266" t="n">
        <v>705</v>
      </c>
      <c r="N15" s="265" t="n">
        <v>718</v>
      </c>
      <c r="O15" s="266" t="n">
        <v>735</v>
      </c>
      <c r="P15" s="265" t="n">
        <v>756</v>
      </c>
      <c r="Q15" s="266" t="n">
        <v>781</v>
      </c>
      <c r="R15" s="265" t="n">
        <v>810</v>
      </c>
    </row>
    <row r="16" customFormat="false" ht="15" hidden="false" customHeight="true" outlineLevel="0" collapsed="false">
      <c r="A16" s="17" t="s">
        <v>855</v>
      </c>
      <c r="B16" s="71" t="n">
        <v>125</v>
      </c>
      <c r="C16" s="104" t="s">
        <v>119</v>
      </c>
      <c r="D16" s="265" t="n">
        <v>122</v>
      </c>
      <c r="E16" s="266" t="n">
        <v>244</v>
      </c>
      <c r="F16" s="265" t="n">
        <v>411</v>
      </c>
      <c r="G16" s="266" t="n">
        <v>391</v>
      </c>
      <c r="H16" s="265" t="n">
        <v>372</v>
      </c>
      <c r="I16" s="266" t="n">
        <v>360</v>
      </c>
      <c r="J16" s="265" t="n">
        <v>352</v>
      </c>
      <c r="K16" s="266" t="n">
        <v>349</v>
      </c>
      <c r="L16" s="265" t="n">
        <v>349</v>
      </c>
      <c r="M16" s="266" t="n">
        <v>353</v>
      </c>
      <c r="N16" s="265" t="n">
        <v>359</v>
      </c>
      <c r="O16" s="266" t="n">
        <v>367</v>
      </c>
      <c r="P16" s="265" t="n">
        <v>378</v>
      </c>
      <c r="Q16" s="266" t="n">
        <v>391</v>
      </c>
      <c r="R16" s="265" t="n">
        <v>405</v>
      </c>
    </row>
    <row r="17" customFormat="false" ht="15" hidden="false" customHeight="true" outlineLevel="0" collapsed="false">
      <c r="A17" s="17" t="s">
        <v>856</v>
      </c>
      <c r="B17" s="71" t="n">
        <v>125</v>
      </c>
      <c r="C17" s="104" t="s">
        <v>122</v>
      </c>
      <c r="D17" s="265" t="n">
        <v>81</v>
      </c>
      <c r="E17" s="266" t="n">
        <v>244</v>
      </c>
      <c r="F17" s="265" t="n">
        <v>411</v>
      </c>
      <c r="G17" s="266" t="n">
        <v>391</v>
      </c>
      <c r="H17" s="265" t="n">
        <v>372</v>
      </c>
      <c r="I17" s="266" t="n">
        <v>360</v>
      </c>
      <c r="J17" s="265" t="n">
        <v>352</v>
      </c>
      <c r="K17" s="266" t="n">
        <v>349</v>
      </c>
      <c r="L17" s="265" t="n">
        <v>349</v>
      </c>
      <c r="M17" s="266" t="n">
        <v>353</v>
      </c>
      <c r="N17" s="265" t="n">
        <v>359</v>
      </c>
      <c r="O17" s="266" t="n">
        <v>367</v>
      </c>
      <c r="P17" s="265" t="n">
        <v>378</v>
      </c>
      <c r="Q17" s="266" t="n">
        <v>391</v>
      </c>
      <c r="R17" s="265" t="n">
        <v>405</v>
      </c>
    </row>
    <row r="18" customFormat="false" ht="15" hidden="false" customHeight="true" outlineLevel="0" collapsed="false">
      <c r="A18" s="17" t="s">
        <v>857</v>
      </c>
      <c r="B18" s="71" t="n">
        <v>125</v>
      </c>
      <c r="C18" s="104" t="s">
        <v>125</v>
      </c>
      <c r="D18" s="265" t="n">
        <v>41</v>
      </c>
      <c r="E18" s="266" t="n">
        <v>244</v>
      </c>
      <c r="F18" s="265" t="n">
        <v>411</v>
      </c>
      <c r="G18" s="266" t="n">
        <v>391</v>
      </c>
      <c r="H18" s="265" t="n">
        <v>372</v>
      </c>
      <c r="I18" s="266" t="n">
        <v>360</v>
      </c>
      <c r="J18" s="265" t="n">
        <v>352</v>
      </c>
      <c r="K18" s="266" t="n">
        <v>349</v>
      </c>
      <c r="L18" s="265" t="n">
        <v>349</v>
      </c>
      <c r="M18" s="266" t="n">
        <v>353</v>
      </c>
      <c r="N18" s="265" t="n">
        <v>359</v>
      </c>
      <c r="O18" s="266" t="n">
        <v>367</v>
      </c>
      <c r="P18" s="265" t="n">
        <v>378</v>
      </c>
      <c r="Q18" s="266" t="n">
        <v>391</v>
      </c>
      <c r="R18" s="265" t="n">
        <v>405</v>
      </c>
    </row>
    <row r="19" customFormat="false" ht="15" hidden="false" customHeight="true" outlineLevel="0" collapsed="false">
      <c r="A19" s="17" t="s">
        <v>858</v>
      </c>
      <c r="B19" s="71" t="n">
        <v>125</v>
      </c>
      <c r="C19" s="104" t="s">
        <v>125</v>
      </c>
      <c r="D19" s="265" t="n">
        <v>41</v>
      </c>
      <c r="E19" s="266" t="n">
        <v>244</v>
      </c>
      <c r="F19" s="265" t="n">
        <v>411</v>
      </c>
      <c r="G19" s="266" t="n">
        <v>391</v>
      </c>
      <c r="H19" s="265" t="n">
        <v>372</v>
      </c>
      <c r="I19" s="266" t="n">
        <v>360</v>
      </c>
      <c r="J19" s="265" t="n">
        <v>352</v>
      </c>
      <c r="K19" s="266" t="n">
        <v>349</v>
      </c>
      <c r="L19" s="265" t="n">
        <v>349</v>
      </c>
      <c r="M19" s="266" t="n">
        <v>353</v>
      </c>
      <c r="N19" s="265" t="n">
        <v>359</v>
      </c>
      <c r="O19" s="266" t="n">
        <v>367</v>
      </c>
      <c r="P19" s="265" t="n">
        <v>378</v>
      </c>
      <c r="Q19" s="266" t="n">
        <v>391</v>
      </c>
      <c r="R19" s="265" t="n">
        <v>405</v>
      </c>
    </row>
    <row r="20" customFormat="false" ht="15" hidden="false" customHeight="true" outlineLevel="0" collapsed="false">
      <c r="A20" s="17" t="s">
        <v>859</v>
      </c>
      <c r="B20" s="71" t="n">
        <v>125</v>
      </c>
      <c r="C20" s="104" t="s">
        <v>125</v>
      </c>
      <c r="D20" s="265" t="n">
        <v>41</v>
      </c>
      <c r="E20" s="266" t="n">
        <v>244</v>
      </c>
      <c r="F20" s="265" t="n">
        <v>411</v>
      </c>
      <c r="G20" s="266" t="n">
        <v>391</v>
      </c>
      <c r="H20" s="265" t="n">
        <v>372</v>
      </c>
      <c r="I20" s="266" t="n">
        <v>360</v>
      </c>
      <c r="J20" s="265" t="n">
        <v>352</v>
      </c>
      <c r="K20" s="266" t="n">
        <v>349</v>
      </c>
      <c r="L20" s="265" t="n">
        <v>349</v>
      </c>
      <c r="M20" s="266" t="n">
        <v>353</v>
      </c>
      <c r="N20" s="265" t="n">
        <v>359</v>
      </c>
      <c r="O20" s="266" t="n">
        <v>367</v>
      </c>
      <c r="P20" s="265" t="n">
        <v>378</v>
      </c>
      <c r="Q20" s="266" t="n">
        <v>391</v>
      </c>
      <c r="R20" s="265" t="n">
        <v>405</v>
      </c>
    </row>
    <row r="21" customFormat="false" ht="15" hidden="false" customHeight="true" outlineLevel="0" collapsed="false">
      <c r="A21" s="17" t="s">
        <v>860</v>
      </c>
      <c r="B21" s="71" t="n">
        <v>125</v>
      </c>
      <c r="C21" s="104" t="s">
        <v>125</v>
      </c>
      <c r="D21" s="265" t="n">
        <v>41</v>
      </c>
      <c r="E21" s="266" t="n">
        <v>244</v>
      </c>
      <c r="F21" s="265" t="n">
        <v>411</v>
      </c>
      <c r="G21" s="266" t="n">
        <v>391</v>
      </c>
      <c r="H21" s="265" t="n">
        <v>372</v>
      </c>
      <c r="I21" s="266" t="n">
        <v>360</v>
      </c>
      <c r="J21" s="265" t="n">
        <v>352</v>
      </c>
      <c r="K21" s="266" t="n">
        <v>349</v>
      </c>
      <c r="L21" s="265" t="n">
        <v>349</v>
      </c>
      <c r="M21" s="266" t="n">
        <v>353</v>
      </c>
      <c r="N21" s="265" t="n">
        <v>359</v>
      </c>
      <c r="O21" s="266" t="n">
        <v>367</v>
      </c>
      <c r="P21" s="265" t="n">
        <v>378</v>
      </c>
      <c r="Q21" s="266" t="n">
        <v>391</v>
      </c>
      <c r="R21" s="265" t="n">
        <v>405</v>
      </c>
    </row>
    <row r="22" customFormat="false" ht="15" hidden="false" customHeight="true" outlineLevel="0" collapsed="false">
      <c r="A22" s="17" t="s">
        <v>861</v>
      </c>
      <c r="B22" s="71" t="n">
        <v>125</v>
      </c>
      <c r="C22" s="104" t="s">
        <v>127</v>
      </c>
      <c r="D22" s="265" t="n">
        <v>14</v>
      </c>
      <c r="E22" s="266" t="n">
        <v>244</v>
      </c>
      <c r="F22" s="265" t="n">
        <v>411</v>
      </c>
      <c r="G22" s="266" t="n">
        <v>391</v>
      </c>
      <c r="H22" s="265" t="n">
        <v>372</v>
      </c>
      <c r="I22" s="266" t="n">
        <v>360</v>
      </c>
      <c r="J22" s="265" t="n">
        <v>352</v>
      </c>
      <c r="K22" s="266" t="n">
        <v>349</v>
      </c>
      <c r="L22" s="265" t="n">
        <v>349</v>
      </c>
      <c r="M22" s="266" t="n">
        <v>353</v>
      </c>
      <c r="N22" s="265" t="n">
        <v>359</v>
      </c>
      <c r="O22" s="266" t="n">
        <v>367</v>
      </c>
      <c r="P22" s="265" t="n">
        <v>378</v>
      </c>
      <c r="Q22" s="266" t="n">
        <v>391</v>
      </c>
      <c r="R22" s="265" t="n">
        <v>405</v>
      </c>
    </row>
    <row r="23" customFormat="false" ht="15" hidden="false" customHeight="true" outlineLevel="0" collapsed="false">
      <c r="A23" s="17" t="s">
        <v>862</v>
      </c>
      <c r="B23" s="71" t="n">
        <v>125</v>
      </c>
      <c r="C23" s="104" t="s">
        <v>127</v>
      </c>
      <c r="D23" s="265" t="n">
        <v>14</v>
      </c>
      <c r="E23" s="266" t="n">
        <v>244</v>
      </c>
      <c r="F23" s="265" t="n">
        <v>411</v>
      </c>
      <c r="G23" s="266" t="n">
        <v>391</v>
      </c>
      <c r="H23" s="265" t="n">
        <v>372</v>
      </c>
      <c r="I23" s="266" t="n">
        <v>360</v>
      </c>
      <c r="J23" s="265" t="n">
        <v>352</v>
      </c>
      <c r="K23" s="266" t="n">
        <v>349</v>
      </c>
      <c r="L23" s="265" t="n">
        <v>349</v>
      </c>
      <c r="M23" s="266" t="n">
        <v>353</v>
      </c>
      <c r="N23" s="265" t="n">
        <v>359</v>
      </c>
      <c r="O23" s="266" t="n">
        <v>367</v>
      </c>
      <c r="P23" s="265" t="n">
        <v>378</v>
      </c>
      <c r="Q23" s="266" t="n">
        <v>391</v>
      </c>
      <c r="R23" s="265" t="n">
        <v>405</v>
      </c>
    </row>
    <row r="24" customFormat="false" ht="15" hidden="false" customHeight="true" outlineLevel="0" collapsed="false">
      <c r="A24" s="17" t="s">
        <v>863</v>
      </c>
      <c r="B24" s="71" t="n">
        <v>125</v>
      </c>
      <c r="C24" s="104" t="s">
        <v>130</v>
      </c>
      <c r="D24" s="266"/>
      <c r="E24" s="266" t="n">
        <v>183</v>
      </c>
      <c r="F24" s="265" t="n">
        <v>411</v>
      </c>
      <c r="G24" s="266" t="n">
        <v>391</v>
      </c>
      <c r="H24" s="265" t="n">
        <v>372</v>
      </c>
      <c r="I24" s="266" t="n">
        <v>360</v>
      </c>
      <c r="J24" s="265" t="n">
        <v>352</v>
      </c>
      <c r="K24" s="266" t="n">
        <v>349</v>
      </c>
      <c r="L24" s="265" t="n">
        <v>349</v>
      </c>
      <c r="M24" s="266" t="n">
        <v>353</v>
      </c>
      <c r="N24" s="265" t="n">
        <v>359</v>
      </c>
      <c r="O24" s="266" t="n">
        <v>367</v>
      </c>
      <c r="P24" s="265" t="n">
        <v>378</v>
      </c>
      <c r="Q24" s="266" t="n">
        <v>391</v>
      </c>
      <c r="R24" s="265" t="n">
        <v>405</v>
      </c>
    </row>
    <row r="26" customFormat="false" ht="15" hidden="false" customHeight="true" outlineLevel="0" collapsed="false">
      <c r="A26" s="21" t="s">
        <v>864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17" t="s">
        <v>865</v>
      </c>
      <c r="D27" s="266" t="n">
        <f aca="false">D28/1.3</f>
        <v>2659.43838461538</v>
      </c>
      <c r="E27" s="266" t="n">
        <f aca="false">E28/1.3</f>
        <v>5843.47992307692</v>
      </c>
      <c r="F27" s="266" t="n">
        <f aca="false">F28/1.3</f>
        <v>5874.61538461539</v>
      </c>
      <c r="G27" s="266" t="n">
        <f aca="false">G28/1.3</f>
        <v>5874.61538461539</v>
      </c>
      <c r="H27" s="266" t="n">
        <f aca="false">H28/1.3</f>
        <v>5874.61538461539</v>
      </c>
      <c r="I27" s="266" t="n">
        <f aca="false">I28/1.3</f>
        <v>5874.61538461539</v>
      </c>
      <c r="J27" s="266" t="n">
        <f aca="false">J28/1.3</f>
        <v>5874.61538461539</v>
      </c>
      <c r="K27" s="266" t="n">
        <f aca="false">K28/1.3</f>
        <v>5874.61538461539</v>
      </c>
      <c r="L27" s="266" t="n">
        <f aca="false">L28/1.3</f>
        <v>5874.61538461539</v>
      </c>
      <c r="M27" s="266" t="n">
        <f aca="false">M28/1.3</f>
        <v>5874.61538461539</v>
      </c>
      <c r="N27" s="266" t="n">
        <f aca="false">N28/1.3</f>
        <v>5874.61538461539</v>
      </c>
      <c r="O27" s="266" t="n">
        <f aca="false">O28/1.3</f>
        <v>5874.61538461539</v>
      </c>
      <c r="P27" s="266" t="n">
        <f aca="false">P28/1.3</f>
        <v>5874.61538461539</v>
      </c>
      <c r="Q27" s="266" t="n">
        <f aca="false">Q28/1.3</f>
        <v>5874.61538461539</v>
      </c>
      <c r="R27" s="266" t="n">
        <f aca="false">R28/1.3</f>
        <v>5874.61538461539</v>
      </c>
    </row>
    <row r="28" customFormat="false" ht="15" hidden="false" customHeight="true" outlineLevel="0" collapsed="false">
      <c r="A28" s="17" t="s">
        <v>866</v>
      </c>
      <c r="D28" s="266" t="n">
        <f aca="false">0.4527*'23. Fund OpBudget'!$C$27</f>
        <v>3457.2699</v>
      </c>
      <c r="E28" s="266" t="n">
        <f aca="false">0.9947*'23. Fund OpBudget'!$C$27</f>
        <v>7596.5239</v>
      </c>
      <c r="F28" s="266" t="n">
        <f aca="false">'23. Fund OpBudget'!$C$27</f>
        <v>7637</v>
      </c>
      <c r="G28" s="266" t="n">
        <f aca="false">'23. Fund OpBudget'!$C$27</f>
        <v>7637</v>
      </c>
      <c r="H28" s="266" t="n">
        <f aca="false">'23. Fund OpBudget'!$C$27</f>
        <v>7637</v>
      </c>
      <c r="I28" s="266" t="n">
        <f aca="false">'23. Fund OpBudget'!$C$27</f>
        <v>7637</v>
      </c>
      <c r="J28" s="266" t="n">
        <f aca="false">'23. Fund OpBudget'!$C$27</f>
        <v>7637</v>
      </c>
      <c r="K28" s="266" t="n">
        <f aca="false">'23. Fund OpBudget'!$C$27</f>
        <v>7637</v>
      </c>
      <c r="L28" s="266" t="n">
        <f aca="false">'23. Fund OpBudget'!$C$27</f>
        <v>7637</v>
      </c>
      <c r="M28" s="266" t="n">
        <f aca="false">'23. Fund OpBudget'!$C$27</f>
        <v>7637</v>
      </c>
      <c r="N28" s="266" t="n">
        <f aca="false">'23. Fund OpBudget'!$C$27</f>
        <v>7637</v>
      </c>
      <c r="O28" s="266" t="n">
        <f aca="false">'23. Fund OpBudget'!$C$27</f>
        <v>7637</v>
      </c>
      <c r="P28" s="266" t="n">
        <f aca="false">'23. Fund OpBudget'!$C$27</f>
        <v>7637</v>
      </c>
      <c r="Q28" s="266" t="n">
        <f aca="false">'23. Fund OpBudget'!$C$27</f>
        <v>7637</v>
      </c>
      <c r="R28" s="266" t="n">
        <f aca="false">'23. Fund OpBudget'!$C$27</f>
        <v>7637</v>
      </c>
    </row>
    <row r="29" customFormat="false" ht="15" hidden="false" customHeight="true" outlineLevel="0" collapsed="false">
      <c r="A29" s="18" t="s">
        <v>867</v>
      </c>
      <c r="D29" s="267" t="n">
        <v>0</v>
      </c>
      <c r="E29" s="267" t="n">
        <v>0</v>
      </c>
      <c r="F29" s="267" t="n">
        <v>7878</v>
      </c>
      <c r="G29" s="267" t="n">
        <v>6934</v>
      </c>
      <c r="H29" s="267" t="n">
        <v>6047</v>
      </c>
      <c r="I29" s="267" t="n">
        <v>5450</v>
      </c>
      <c r="J29" s="267" t="n">
        <v>5093</v>
      </c>
      <c r="K29" s="267" t="n">
        <v>4939</v>
      </c>
      <c r="L29" s="267" t="n">
        <v>4956</v>
      </c>
      <c r="M29" s="267" t="n">
        <v>5120</v>
      </c>
      <c r="N29" s="267" t="n">
        <v>5411</v>
      </c>
      <c r="O29" s="267" t="n">
        <v>5814</v>
      </c>
      <c r="P29" s="267" t="n">
        <v>6317</v>
      </c>
      <c r="Q29" s="267" t="n">
        <v>6909</v>
      </c>
      <c r="R29" s="267" t="n">
        <v>7583</v>
      </c>
    </row>
    <row r="30" customFormat="false" ht="15" hidden="false" customHeight="true" outlineLevel="0" collapsed="false">
      <c r="A30" s="171" t="s">
        <v>868</v>
      </c>
      <c r="B30" s="174"/>
      <c r="C30" s="174"/>
      <c r="D30" s="268" t="n">
        <v>5186</v>
      </c>
      <c r="E30" s="268" t="n">
        <v>11395</v>
      </c>
      <c r="F30" s="268" t="n">
        <v>19335</v>
      </c>
      <c r="G30" s="268" t="n">
        <v>18391</v>
      </c>
      <c r="H30" s="268" t="n">
        <v>17504</v>
      </c>
      <c r="I30" s="268" t="n">
        <v>16906</v>
      </c>
      <c r="J30" s="268" t="n">
        <v>16549</v>
      </c>
      <c r="K30" s="268" t="n">
        <v>16395</v>
      </c>
      <c r="L30" s="268" t="n">
        <v>16412</v>
      </c>
      <c r="M30" s="268" t="n">
        <v>16576</v>
      </c>
      <c r="N30" s="268" t="n">
        <v>16868</v>
      </c>
      <c r="O30" s="268" t="n">
        <v>17271</v>
      </c>
      <c r="P30" s="268" t="n">
        <v>17773</v>
      </c>
      <c r="Q30" s="268" t="n">
        <v>18365</v>
      </c>
      <c r="R30" s="268" t="n">
        <v>19040</v>
      </c>
    </row>
    <row r="31" customFormat="false" ht="15" hidden="false" customHeight="true" outlineLevel="0" collapsed="false">
      <c r="A31" s="9" t="s">
        <v>869</v>
      </c>
    </row>
    <row r="32" customFormat="false" ht="15" hidden="false" customHeight="true" outlineLevel="0" collapsed="false">
      <c r="A32" s="17" t="s">
        <v>870</v>
      </c>
      <c r="D32" s="104" t="s">
        <v>871</v>
      </c>
      <c r="E32" s="104" t="s">
        <v>872</v>
      </c>
      <c r="F32" s="104" t="s">
        <v>872</v>
      </c>
      <c r="G32" s="104" t="s">
        <v>872</v>
      </c>
      <c r="H32" s="104" t="s">
        <v>872</v>
      </c>
      <c r="I32" s="104" t="s">
        <v>872</v>
      </c>
      <c r="J32" s="104" t="s">
        <v>872</v>
      </c>
      <c r="K32" s="104" t="s">
        <v>872</v>
      </c>
      <c r="L32" s="104" t="s">
        <v>872</v>
      </c>
      <c r="M32" s="104" t="s">
        <v>872</v>
      </c>
      <c r="N32" s="104" t="s">
        <v>872</v>
      </c>
      <c r="O32" s="104" t="s">
        <v>872</v>
      </c>
      <c r="P32" s="104" t="s">
        <v>872</v>
      </c>
      <c r="Q32" s="104" t="s">
        <v>872</v>
      </c>
      <c r="R32" s="104" t="s">
        <v>872</v>
      </c>
    </row>
    <row r="33" customFormat="false" ht="15" hidden="false" customHeight="true" outlineLevel="0" collapsed="false">
      <c r="A33" s="17" t="s">
        <v>873</v>
      </c>
      <c r="D33" s="104" t="n">
        <v>42.4</v>
      </c>
      <c r="E33" s="104" t="n">
        <v>122.4</v>
      </c>
      <c r="F33" s="104" t="n">
        <v>118.9</v>
      </c>
      <c r="G33" s="104" t="n">
        <v>111.5</v>
      </c>
      <c r="H33" s="104" t="n">
        <v>106.1</v>
      </c>
      <c r="I33" s="104" t="n">
        <v>102.5</v>
      </c>
      <c r="J33" s="104" t="n">
        <v>100.3</v>
      </c>
      <c r="K33" s="104" t="n">
        <v>99.4</v>
      </c>
      <c r="L33" s="104" t="n">
        <v>99.5</v>
      </c>
      <c r="M33" s="104" t="n">
        <v>100.5</v>
      </c>
      <c r="N33" s="104" t="n">
        <v>102.2</v>
      </c>
      <c r="O33" s="104" t="n">
        <v>104.7</v>
      </c>
      <c r="P33" s="104" t="n">
        <v>107.7</v>
      </c>
      <c r="Q33" s="104" t="n">
        <v>111.3</v>
      </c>
      <c r="R33" s="104" t="n">
        <v>115.4</v>
      </c>
    </row>
    <row r="34" customFormat="false" ht="15" hidden="false" customHeight="true" outlineLevel="0" collapsed="false">
      <c r="A34" s="17" t="s">
        <v>874</v>
      </c>
      <c r="D34" s="104" t="n">
        <v>19</v>
      </c>
      <c r="E34" s="104" t="n">
        <v>20</v>
      </c>
      <c r="F34" s="104" t="n">
        <v>20</v>
      </c>
      <c r="G34" s="104" t="n">
        <v>20</v>
      </c>
      <c r="H34" s="104" t="n">
        <v>20</v>
      </c>
      <c r="I34" s="104" t="n">
        <v>20</v>
      </c>
      <c r="J34" s="104" t="n">
        <v>20</v>
      </c>
      <c r="K34" s="104" t="n">
        <v>20</v>
      </c>
      <c r="L34" s="104" t="n">
        <v>20</v>
      </c>
      <c r="M34" s="104" t="n">
        <v>20</v>
      </c>
      <c r="N34" s="104" t="n">
        <v>20</v>
      </c>
      <c r="O34" s="104" t="n">
        <v>20</v>
      </c>
      <c r="P34" s="104" t="n">
        <v>20</v>
      </c>
      <c r="Q34" s="104" t="n">
        <v>20</v>
      </c>
      <c r="R34" s="104" t="n">
        <v>20</v>
      </c>
    </row>
    <row r="37" customFormat="false" ht="15" hidden="false" customHeight="true" outlineLevel="0" collapsed="false">
      <c r="A37" s="21" t="s">
        <v>875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17" t="s">
        <v>819</v>
      </c>
      <c r="D38" s="266"/>
      <c r="E38" s="266"/>
      <c r="F38" s="265" t="n">
        <v>1341</v>
      </c>
      <c r="G38" s="266" t="n">
        <v>1180</v>
      </c>
      <c r="H38" s="265" t="n">
        <v>1029</v>
      </c>
      <c r="I38" s="266" t="n">
        <v>928</v>
      </c>
      <c r="J38" s="265" t="n">
        <v>867</v>
      </c>
      <c r="K38" s="266" t="n">
        <v>841</v>
      </c>
      <c r="L38" s="265" t="n">
        <v>844</v>
      </c>
      <c r="M38" s="266" t="n">
        <v>872</v>
      </c>
      <c r="N38" s="265" t="n">
        <v>921</v>
      </c>
      <c r="O38" s="266" t="n">
        <v>990</v>
      </c>
      <c r="P38" s="265" t="n">
        <v>1075</v>
      </c>
      <c r="Q38" s="266" t="n">
        <v>1176</v>
      </c>
      <c r="R38" s="265" t="n">
        <v>1291</v>
      </c>
    </row>
    <row r="39" customFormat="false" ht="15" hidden="false" customHeight="true" outlineLevel="0" collapsed="false">
      <c r="A39" s="17" t="s">
        <v>820</v>
      </c>
      <c r="D39" s="266"/>
      <c r="E39" s="266"/>
      <c r="F39" s="265" t="n">
        <v>671</v>
      </c>
      <c r="G39" s="266" t="n">
        <v>590</v>
      </c>
      <c r="H39" s="265" t="n">
        <v>515</v>
      </c>
      <c r="I39" s="266" t="n">
        <v>464</v>
      </c>
      <c r="J39" s="265" t="n">
        <v>433</v>
      </c>
      <c r="K39" s="266" t="n">
        <v>420</v>
      </c>
      <c r="L39" s="265" t="n">
        <v>422</v>
      </c>
      <c r="M39" s="266" t="n">
        <v>436</v>
      </c>
      <c r="N39" s="265" t="n">
        <v>461</v>
      </c>
      <c r="O39" s="266" t="n">
        <v>495</v>
      </c>
      <c r="P39" s="265" t="n">
        <v>538</v>
      </c>
      <c r="Q39" s="266" t="n">
        <v>588</v>
      </c>
      <c r="R39" s="265" t="n">
        <v>645</v>
      </c>
    </row>
    <row r="40" customFormat="false" ht="15" hidden="false" customHeight="true" outlineLevel="0" collapsed="false">
      <c r="A40" s="17" t="s">
        <v>821</v>
      </c>
      <c r="D40" s="266"/>
      <c r="E40" s="266"/>
      <c r="F40" s="265" t="n">
        <v>671</v>
      </c>
      <c r="G40" s="266" t="n">
        <v>590</v>
      </c>
      <c r="H40" s="265" t="n">
        <v>515</v>
      </c>
      <c r="I40" s="266" t="n">
        <v>464</v>
      </c>
      <c r="J40" s="265" t="n">
        <v>433</v>
      </c>
      <c r="K40" s="266" t="n">
        <v>420</v>
      </c>
      <c r="L40" s="265" t="n">
        <v>422</v>
      </c>
      <c r="M40" s="266" t="n">
        <v>436</v>
      </c>
      <c r="N40" s="265" t="n">
        <v>461</v>
      </c>
      <c r="O40" s="266" t="n">
        <v>495</v>
      </c>
      <c r="P40" s="265" t="n">
        <v>538</v>
      </c>
      <c r="Q40" s="266" t="n">
        <v>588</v>
      </c>
      <c r="R40" s="265" t="n">
        <v>645</v>
      </c>
    </row>
    <row r="41" customFormat="false" ht="15" hidden="false" customHeight="true" outlineLevel="0" collapsed="false">
      <c r="A41" s="17" t="s">
        <v>822</v>
      </c>
      <c r="D41" s="266"/>
      <c r="E41" s="266"/>
      <c r="F41" s="265" t="n">
        <v>671</v>
      </c>
      <c r="G41" s="266" t="n">
        <v>590</v>
      </c>
      <c r="H41" s="265" t="n">
        <v>515</v>
      </c>
      <c r="I41" s="266" t="n">
        <v>464</v>
      </c>
      <c r="J41" s="265" t="n">
        <v>433</v>
      </c>
      <c r="K41" s="266" t="n">
        <v>420</v>
      </c>
      <c r="L41" s="265" t="n">
        <v>422</v>
      </c>
      <c r="M41" s="266" t="n">
        <v>436</v>
      </c>
      <c r="N41" s="265" t="n">
        <v>461</v>
      </c>
      <c r="O41" s="266" t="n">
        <v>495</v>
      </c>
      <c r="P41" s="265" t="n">
        <v>538</v>
      </c>
      <c r="Q41" s="266" t="n">
        <v>588</v>
      </c>
      <c r="R41" s="265" t="n">
        <v>645</v>
      </c>
    </row>
    <row r="42" customFormat="false" ht="15" hidden="false" customHeight="true" outlineLevel="0" collapsed="false">
      <c r="A42" s="17" t="s">
        <v>823</v>
      </c>
      <c r="D42" s="266"/>
      <c r="E42" s="266"/>
      <c r="F42" s="265" t="n">
        <v>671</v>
      </c>
      <c r="G42" s="266" t="n">
        <v>590</v>
      </c>
      <c r="H42" s="265" t="n">
        <v>515</v>
      </c>
      <c r="I42" s="266" t="n">
        <v>464</v>
      </c>
      <c r="J42" s="265" t="n">
        <v>433</v>
      </c>
      <c r="K42" s="266" t="n">
        <v>420</v>
      </c>
      <c r="L42" s="265" t="n">
        <v>422</v>
      </c>
      <c r="M42" s="266" t="n">
        <v>436</v>
      </c>
      <c r="N42" s="265" t="n">
        <v>461</v>
      </c>
      <c r="O42" s="266" t="n">
        <v>495</v>
      </c>
      <c r="P42" s="265" t="n">
        <v>538</v>
      </c>
      <c r="Q42" s="266" t="n">
        <v>588</v>
      </c>
      <c r="R42" s="265" t="n">
        <v>645</v>
      </c>
    </row>
    <row r="43" customFormat="false" ht="15" hidden="false" customHeight="true" outlineLevel="0" collapsed="false">
      <c r="A43" s="17" t="s">
        <v>824</v>
      </c>
      <c r="D43" s="266"/>
      <c r="E43" s="266"/>
      <c r="F43" s="265" t="n">
        <v>671</v>
      </c>
      <c r="G43" s="266" t="n">
        <v>590</v>
      </c>
      <c r="H43" s="265" t="n">
        <v>515</v>
      </c>
      <c r="I43" s="266" t="n">
        <v>464</v>
      </c>
      <c r="J43" s="265" t="n">
        <v>433</v>
      </c>
      <c r="K43" s="266" t="n">
        <v>420</v>
      </c>
      <c r="L43" s="265" t="n">
        <v>422</v>
      </c>
      <c r="M43" s="266" t="n">
        <v>436</v>
      </c>
      <c r="N43" s="265" t="n">
        <v>461</v>
      </c>
      <c r="O43" s="266" t="n">
        <v>495</v>
      </c>
      <c r="P43" s="265" t="n">
        <v>538</v>
      </c>
      <c r="Q43" s="266" t="n">
        <v>588</v>
      </c>
      <c r="R43" s="265" t="n">
        <v>645</v>
      </c>
    </row>
    <row r="44" customFormat="false" ht="15" hidden="false" customHeight="true" outlineLevel="0" collapsed="false">
      <c r="A44" s="17" t="s">
        <v>850</v>
      </c>
      <c r="D44" s="266"/>
      <c r="E44" s="266"/>
      <c r="F44" s="265" t="n">
        <v>335</v>
      </c>
      <c r="G44" s="266" t="n">
        <v>295</v>
      </c>
      <c r="H44" s="265" t="n">
        <v>257</v>
      </c>
      <c r="I44" s="266" t="n">
        <v>232</v>
      </c>
      <c r="J44" s="265" t="n">
        <v>217</v>
      </c>
      <c r="K44" s="266" t="n">
        <v>210</v>
      </c>
      <c r="L44" s="265" t="n">
        <v>211</v>
      </c>
      <c r="M44" s="266" t="n">
        <v>218</v>
      </c>
      <c r="N44" s="265" t="n">
        <v>230</v>
      </c>
      <c r="O44" s="266" t="n">
        <v>247</v>
      </c>
      <c r="P44" s="265" t="n">
        <v>269</v>
      </c>
      <c r="Q44" s="266" t="n">
        <v>294</v>
      </c>
      <c r="R44" s="265" t="n">
        <v>323</v>
      </c>
    </row>
    <row r="45" customFormat="false" ht="15" hidden="false" customHeight="true" outlineLevel="0" collapsed="false">
      <c r="A45" s="17" t="s">
        <v>851</v>
      </c>
      <c r="D45" s="266"/>
      <c r="E45" s="266"/>
      <c r="F45" s="265" t="n">
        <v>335</v>
      </c>
      <c r="G45" s="266" t="n">
        <v>295</v>
      </c>
      <c r="H45" s="265" t="n">
        <v>257</v>
      </c>
      <c r="I45" s="266" t="n">
        <v>232</v>
      </c>
      <c r="J45" s="265" t="n">
        <v>217</v>
      </c>
      <c r="K45" s="266" t="n">
        <v>210</v>
      </c>
      <c r="L45" s="265" t="n">
        <v>211</v>
      </c>
      <c r="M45" s="266" t="n">
        <v>218</v>
      </c>
      <c r="N45" s="265" t="n">
        <v>230</v>
      </c>
      <c r="O45" s="266" t="n">
        <v>247</v>
      </c>
      <c r="P45" s="265" t="n">
        <v>269</v>
      </c>
      <c r="Q45" s="266" t="n">
        <v>294</v>
      </c>
      <c r="R45" s="265" t="n">
        <v>323</v>
      </c>
    </row>
    <row r="46" customFormat="false" ht="15" hidden="false" customHeight="true" outlineLevel="0" collapsed="false">
      <c r="A46" s="17" t="s">
        <v>852</v>
      </c>
      <c r="D46" s="266"/>
      <c r="E46" s="266"/>
      <c r="F46" s="265" t="n">
        <v>335</v>
      </c>
      <c r="G46" s="266" t="n">
        <v>295</v>
      </c>
      <c r="H46" s="265" t="n">
        <v>257</v>
      </c>
      <c r="I46" s="266" t="n">
        <v>232</v>
      </c>
      <c r="J46" s="265" t="n">
        <v>217</v>
      </c>
      <c r="K46" s="266" t="n">
        <v>210</v>
      </c>
      <c r="L46" s="265" t="n">
        <v>211</v>
      </c>
      <c r="M46" s="266" t="n">
        <v>218</v>
      </c>
      <c r="N46" s="265" t="n">
        <v>230</v>
      </c>
      <c r="O46" s="266" t="n">
        <v>247</v>
      </c>
      <c r="P46" s="265" t="n">
        <v>269</v>
      </c>
      <c r="Q46" s="266" t="n">
        <v>294</v>
      </c>
      <c r="R46" s="265" t="n">
        <v>323</v>
      </c>
    </row>
    <row r="47" customFormat="false" ht="15" hidden="false" customHeight="true" outlineLevel="0" collapsed="false">
      <c r="A47" s="17" t="s">
        <v>853</v>
      </c>
      <c r="D47" s="266"/>
      <c r="E47" s="266"/>
      <c r="F47" s="265" t="n">
        <v>335</v>
      </c>
      <c r="G47" s="266" t="n">
        <v>295</v>
      </c>
      <c r="H47" s="265" t="n">
        <v>257</v>
      </c>
      <c r="I47" s="266" t="n">
        <v>232</v>
      </c>
      <c r="J47" s="265" t="n">
        <v>217</v>
      </c>
      <c r="K47" s="266" t="n">
        <v>210</v>
      </c>
      <c r="L47" s="265" t="n">
        <v>211</v>
      </c>
      <c r="M47" s="266" t="n">
        <v>218</v>
      </c>
      <c r="N47" s="265" t="n">
        <v>230</v>
      </c>
      <c r="O47" s="266" t="n">
        <v>247</v>
      </c>
      <c r="P47" s="265" t="n">
        <v>269</v>
      </c>
      <c r="Q47" s="266" t="n">
        <v>294</v>
      </c>
      <c r="R47" s="265" t="n">
        <v>323</v>
      </c>
    </row>
    <row r="48" customFormat="false" ht="15" hidden="false" customHeight="true" outlineLevel="0" collapsed="false">
      <c r="A48" s="17" t="s">
        <v>854</v>
      </c>
      <c r="D48" s="266"/>
      <c r="E48" s="266"/>
      <c r="F48" s="265" t="n">
        <v>335</v>
      </c>
      <c r="G48" s="266" t="n">
        <v>295</v>
      </c>
      <c r="H48" s="265" t="n">
        <v>257</v>
      </c>
      <c r="I48" s="266" t="n">
        <v>232</v>
      </c>
      <c r="J48" s="265" t="n">
        <v>217</v>
      </c>
      <c r="K48" s="266" t="n">
        <v>210</v>
      </c>
      <c r="L48" s="265" t="n">
        <v>211</v>
      </c>
      <c r="M48" s="266" t="n">
        <v>218</v>
      </c>
      <c r="N48" s="265" t="n">
        <v>230</v>
      </c>
      <c r="O48" s="266" t="n">
        <v>247</v>
      </c>
      <c r="P48" s="265" t="n">
        <v>269</v>
      </c>
      <c r="Q48" s="266" t="n">
        <v>294</v>
      </c>
      <c r="R48" s="265" t="n">
        <v>323</v>
      </c>
    </row>
    <row r="49" customFormat="false" ht="15" hidden="false" customHeight="true" outlineLevel="0" collapsed="false">
      <c r="A49" s="17" t="s">
        <v>855</v>
      </c>
      <c r="D49" s="266"/>
      <c r="E49" s="266"/>
      <c r="F49" s="265" t="n">
        <v>168</v>
      </c>
      <c r="G49" s="266" t="n">
        <v>148</v>
      </c>
      <c r="H49" s="265" t="n">
        <v>129</v>
      </c>
      <c r="I49" s="266" t="n">
        <v>116</v>
      </c>
      <c r="J49" s="265" t="n">
        <v>108</v>
      </c>
      <c r="K49" s="266" t="n">
        <v>105</v>
      </c>
      <c r="L49" s="265" t="n">
        <v>105</v>
      </c>
      <c r="M49" s="266" t="n">
        <v>109</v>
      </c>
      <c r="N49" s="265" t="n">
        <v>115</v>
      </c>
      <c r="O49" s="266" t="n">
        <v>124</v>
      </c>
      <c r="P49" s="265" t="n">
        <v>134</v>
      </c>
      <c r="Q49" s="266" t="n">
        <v>147</v>
      </c>
      <c r="R49" s="265" t="n">
        <v>161</v>
      </c>
    </row>
    <row r="50" customFormat="false" ht="15" hidden="false" customHeight="true" outlineLevel="0" collapsed="false">
      <c r="A50" s="17" t="s">
        <v>856</v>
      </c>
      <c r="D50" s="266"/>
      <c r="E50" s="266"/>
      <c r="F50" s="265" t="n">
        <v>168</v>
      </c>
      <c r="G50" s="266" t="n">
        <v>148</v>
      </c>
      <c r="H50" s="265" t="n">
        <v>129</v>
      </c>
      <c r="I50" s="266" t="n">
        <v>116</v>
      </c>
      <c r="J50" s="265" t="n">
        <v>108</v>
      </c>
      <c r="K50" s="266" t="n">
        <v>105</v>
      </c>
      <c r="L50" s="265" t="n">
        <v>105</v>
      </c>
      <c r="M50" s="266" t="n">
        <v>109</v>
      </c>
      <c r="N50" s="265" t="n">
        <v>115</v>
      </c>
      <c r="O50" s="266" t="n">
        <v>124</v>
      </c>
      <c r="P50" s="265" t="n">
        <v>134</v>
      </c>
      <c r="Q50" s="266" t="n">
        <v>147</v>
      </c>
      <c r="R50" s="265" t="n">
        <v>161</v>
      </c>
    </row>
    <row r="51" customFormat="false" ht="15" hidden="false" customHeight="true" outlineLevel="0" collapsed="false">
      <c r="A51" s="17" t="s">
        <v>857</v>
      </c>
      <c r="D51" s="266"/>
      <c r="E51" s="266"/>
      <c r="F51" s="265" t="n">
        <v>168</v>
      </c>
      <c r="G51" s="266" t="n">
        <v>148</v>
      </c>
      <c r="H51" s="265" t="n">
        <v>129</v>
      </c>
      <c r="I51" s="266" t="n">
        <v>116</v>
      </c>
      <c r="J51" s="265" t="n">
        <v>108</v>
      </c>
      <c r="K51" s="266" t="n">
        <v>105</v>
      </c>
      <c r="L51" s="265" t="n">
        <v>105</v>
      </c>
      <c r="M51" s="266" t="n">
        <v>109</v>
      </c>
      <c r="N51" s="265" t="n">
        <v>115</v>
      </c>
      <c r="O51" s="266" t="n">
        <v>124</v>
      </c>
      <c r="P51" s="265" t="n">
        <v>134</v>
      </c>
      <c r="Q51" s="266" t="n">
        <v>147</v>
      </c>
      <c r="R51" s="265" t="n">
        <v>161</v>
      </c>
    </row>
    <row r="52" customFormat="false" ht="15" hidden="false" customHeight="true" outlineLevel="0" collapsed="false">
      <c r="A52" s="17" t="s">
        <v>858</v>
      </c>
      <c r="D52" s="266"/>
      <c r="E52" s="266"/>
      <c r="F52" s="265" t="n">
        <v>168</v>
      </c>
      <c r="G52" s="266" t="n">
        <v>148</v>
      </c>
      <c r="H52" s="265" t="n">
        <v>129</v>
      </c>
      <c r="I52" s="266" t="n">
        <v>116</v>
      </c>
      <c r="J52" s="265" t="n">
        <v>108</v>
      </c>
      <c r="K52" s="266" t="n">
        <v>105</v>
      </c>
      <c r="L52" s="265" t="n">
        <v>105</v>
      </c>
      <c r="M52" s="266" t="n">
        <v>109</v>
      </c>
      <c r="N52" s="265" t="n">
        <v>115</v>
      </c>
      <c r="O52" s="266" t="n">
        <v>124</v>
      </c>
      <c r="P52" s="265" t="n">
        <v>134</v>
      </c>
      <c r="Q52" s="266" t="n">
        <v>147</v>
      </c>
      <c r="R52" s="265" t="n">
        <v>161</v>
      </c>
    </row>
    <row r="53" customFormat="false" ht="15" hidden="false" customHeight="true" outlineLevel="0" collapsed="false">
      <c r="A53" s="17" t="s">
        <v>859</v>
      </c>
      <c r="D53" s="266"/>
      <c r="E53" s="266"/>
      <c r="F53" s="265" t="n">
        <v>168</v>
      </c>
      <c r="G53" s="266" t="n">
        <v>148</v>
      </c>
      <c r="H53" s="265" t="n">
        <v>129</v>
      </c>
      <c r="I53" s="266" t="n">
        <v>116</v>
      </c>
      <c r="J53" s="265" t="n">
        <v>108</v>
      </c>
      <c r="K53" s="266" t="n">
        <v>105</v>
      </c>
      <c r="L53" s="265" t="n">
        <v>105</v>
      </c>
      <c r="M53" s="266" t="n">
        <v>109</v>
      </c>
      <c r="N53" s="265" t="n">
        <v>115</v>
      </c>
      <c r="O53" s="266" t="n">
        <v>124</v>
      </c>
      <c r="P53" s="265" t="n">
        <v>134</v>
      </c>
      <c r="Q53" s="266" t="n">
        <v>147</v>
      </c>
      <c r="R53" s="265" t="n">
        <v>161</v>
      </c>
    </row>
    <row r="54" customFormat="false" ht="15" hidden="false" customHeight="true" outlineLevel="0" collapsed="false">
      <c r="A54" s="17" t="s">
        <v>860</v>
      </c>
      <c r="D54" s="266"/>
      <c r="E54" s="266"/>
      <c r="F54" s="265" t="n">
        <v>168</v>
      </c>
      <c r="G54" s="266" t="n">
        <v>148</v>
      </c>
      <c r="H54" s="265" t="n">
        <v>129</v>
      </c>
      <c r="I54" s="266" t="n">
        <v>116</v>
      </c>
      <c r="J54" s="265" t="n">
        <v>108</v>
      </c>
      <c r="K54" s="266" t="n">
        <v>105</v>
      </c>
      <c r="L54" s="265" t="n">
        <v>105</v>
      </c>
      <c r="M54" s="266" t="n">
        <v>109</v>
      </c>
      <c r="N54" s="265" t="n">
        <v>115</v>
      </c>
      <c r="O54" s="266" t="n">
        <v>124</v>
      </c>
      <c r="P54" s="265" t="n">
        <v>134</v>
      </c>
      <c r="Q54" s="266" t="n">
        <v>147</v>
      </c>
      <c r="R54" s="265" t="n">
        <v>161</v>
      </c>
    </row>
    <row r="55" customFormat="false" ht="15" hidden="false" customHeight="true" outlineLevel="0" collapsed="false">
      <c r="A55" s="17" t="s">
        <v>861</v>
      </c>
      <c r="D55" s="266"/>
      <c r="E55" s="266"/>
      <c r="F55" s="265" t="n">
        <v>168</v>
      </c>
      <c r="G55" s="266" t="n">
        <v>148</v>
      </c>
      <c r="H55" s="265" t="n">
        <v>129</v>
      </c>
      <c r="I55" s="266" t="n">
        <v>116</v>
      </c>
      <c r="J55" s="265" t="n">
        <v>108</v>
      </c>
      <c r="K55" s="266" t="n">
        <v>105</v>
      </c>
      <c r="L55" s="265" t="n">
        <v>105</v>
      </c>
      <c r="M55" s="266" t="n">
        <v>109</v>
      </c>
      <c r="N55" s="265" t="n">
        <v>115</v>
      </c>
      <c r="O55" s="266" t="n">
        <v>124</v>
      </c>
      <c r="P55" s="265" t="n">
        <v>134</v>
      </c>
      <c r="Q55" s="266" t="n">
        <v>147</v>
      </c>
      <c r="R55" s="265" t="n">
        <v>161</v>
      </c>
    </row>
    <row r="56" customFormat="false" ht="15" hidden="false" customHeight="true" outlineLevel="0" collapsed="false">
      <c r="A56" s="17" t="s">
        <v>862</v>
      </c>
      <c r="D56" s="266"/>
      <c r="E56" s="266"/>
      <c r="F56" s="265" t="n">
        <v>168</v>
      </c>
      <c r="G56" s="266" t="n">
        <v>148</v>
      </c>
      <c r="H56" s="265" t="n">
        <v>129</v>
      </c>
      <c r="I56" s="266" t="n">
        <v>116</v>
      </c>
      <c r="J56" s="265" t="n">
        <v>108</v>
      </c>
      <c r="K56" s="266" t="n">
        <v>105</v>
      </c>
      <c r="L56" s="265" t="n">
        <v>105</v>
      </c>
      <c r="M56" s="266" t="n">
        <v>109</v>
      </c>
      <c r="N56" s="265" t="n">
        <v>115</v>
      </c>
      <c r="O56" s="266" t="n">
        <v>124</v>
      </c>
      <c r="P56" s="265" t="n">
        <v>134</v>
      </c>
      <c r="Q56" s="266" t="n">
        <v>147</v>
      </c>
      <c r="R56" s="265" t="n">
        <v>161</v>
      </c>
    </row>
    <row r="57" customFormat="false" ht="15" hidden="false" customHeight="true" outlineLevel="0" collapsed="false">
      <c r="A57" s="17" t="s">
        <v>863</v>
      </c>
      <c r="D57" s="266"/>
      <c r="E57" s="266"/>
      <c r="F57" s="265" t="n">
        <v>168</v>
      </c>
      <c r="G57" s="266" t="n">
        <v>148</v>
      </c>
      <c r="H57" s="265" t="n">
        <v>129</v>
      </c>
      <c r="I57" s="266" t="n">
        <v>116</v>
      </c>
      <c r="J57" s="265" t="n">
        <v>108</v>
      </c>
      <c r="K57" s="266" t="n">
        <v>105</v>
      </c>
      <c r="L57" s="265" t="n">
        <v>105</v>
      </c>
      <c r="M57" s="266" t="n">
        <v>109</v>
      </c>
      <c r="N57" s="265" t="n">
        <v>115</v>
      </c>
      <c r="O57" s="266" t="n">
        <v>124</v>
      </c>
      <c r="P57" s="265" t="n">
        <v>134</v>
      </c>
      <c r="Q57" s="266" t="n">
        <v>147</v>
      </c>
      <c r="R57" s="265" t="n">
        <v>161</v>
      </c>
    </row>
    <row r="59" customFormat="false" ht="15" hidden="false" customHeight="true" outlineLevel="0" collapsed="false">
      <c r="A59" s="3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42"/>
    <col collapsed="false" customWidth="true" hidden="false" outlineLevel="0" max="5" min="5" style="1" width="55"/>
  </cols>
  <sheetData>
    <row r="1" customFormat="false" ht="15" hidden="false" customHeight="true" outlineLevel="0" collapsed="false">
      <c r="A1" s="269" t="s">
        <v>876</v>
      </c>
      <c r="B1" s="270"/>
      <c r="C1" s="270"/>
      <c r="D1" s="270"/>
      <c r="E1" s="270"/>
    </row>
    <row r="2" customFormat="false" ht="15" hidden="false" customHeight="true" outlineLevel="0" collapsed="false">
      <c r="A2" s="86"/>
      <c r="B2" s="270"/>
      <c r="C2" s="270"/>
      <c r="D2" s="270"/>
      <c r="E2" s="270"/>
    </row>
    <row r="3" customFormat="false" ht="15" hidden="false" customHeight="false" outlineLevel="0" collapsed="false">
      <c r="A3" s="271" t="s">
        <v>877</v>
      </c>
      <c r="B3" s="270"/>
      <c r="C3" s="270"/>
      <c r="D3" s="270"/>
      <c r="E3" s="270"/>
    </row>
    <row r="4" customFormat="false" ht="27.75" hidden="false" customHeight="true" outlineLevel="0" collapsed="false">
      <c r="A4" s="272" t="s">
        <v>878</v>
      </c>
      <c r="B4" s="273" t="s">
        <v>879</v>
      </c>
      <c r="C4" s="273"/>
      <c r="D4" s="273"/>
      <c r="E4" s="273"/>
    </row>
    <row r="5" customFormat="false" ht="48" hidden="false" customHeight="true" outlineLevel="0" collapsed="false">
      <c r="A5" s="92" t="s">
        <v>880</v>
      </c>
      <c r="B5" s="274" t="s">
        <v>881</v>
      </c>
      <c r="C5" s="274"/>
      <c r="D5" s="274"/>
      <c r="E5" s="274"/>
    </row>
    <row r="6" customFormat="false" ht="48" hidden="false" customHeight="true" outlineLevel="0" collapsed="false">
      <c r="A6" s="92" t="s">
        <v>687</v>
      </c>
      <c r="B6" s="274" t="s">
        <v>882</v>
      </c>
      <c r="C6" s="274"/>
      <c r="D6" s="274"/>
      <c r="E6" s="274"/>
    </row>
    <row r="7" customFormat="false" ht="48" hidden="false" customHeight="true" outlineLevel="0" collapsed="false">
      <c r="A7" s="92" t="s">
        <v>883</v>
      </c>
      <c r="B7" s="274" t="s">
        <v>884</v>
      </c>
      <c r="C7" s="274"/>
      <c r="D7" s="274"/>
      <c r="E7" s="274"/>
    </row>
    <row r="8" customFormat="false" ht="48" hidden="false" customHeight="true" outlineLevel="0" collapsed="false">
      <c r="A8" s="92" t="s">
        <v>885</v>
      </c>
      <c r="B8" s="274" t="s">
        <v>886</v>
      </c>
      <c r="C8" s="274"/>
      <c r="D8" s="274"/>
      <c r="E8" s="274"/>
    </row>
    <row r="9" customFormat="false" ht="48" hidden="false" customHeight="true" outlineLevel="0" collapsed="false">
      <c r="A9" s="92" t="s">
        <v>175</v>
      </c>
      <c r="B9" s="274" t="s">
        <v>887</v>
      </c>
      <c r="C9" s="274"/>
      <c r="D9" s="274"/>
      <c r="E9" s="274"/>
    </row>
    <row r="10" customFormat="false" ht="48" hidden="false" customHeight="true" outlineLevel="0" collapsed="false">
      <c r="A10" s="92" t="s">
        <v>888</v>
      </c>
      <c r="B10" s="274" t="s">
        <v>889</v>
      </c>
      <c r="C10" s="274"/>
      <c r="D10" s="274"/>
      <c r="E10" s="274"/>
    </row>
    <row r="11" customFormat="false" ht="48" hidden="false" customHeight="true" outlineLevel="0" collapsed="false">
      <c r="A11" s="92" t="s">
        <v>890</v>
      </c>
      <c r="B11" s="274" t="s">
        <v>891</v>
      </c>
      <c r="C11" s="274"/>
      <c r="D11" s="274"/>
      <c r="E11" s="274"/>
    </row>
    <row r="12" customFormat="false" ht="48" hidden="false" customHeight="true" outlineLevel="0" collapsed="false">
      <c r="A12" s="274"/>
      <c r="B12" s="274"/>
      <c r="C12" s="274"/>
      <c r="D12" s="274"/>
      <c r="E12" s="274"/>
    </row>
    <row r="13" customFormat="false" ht="48" hidden="false" customHeight="true" outlineLevel="0" collapsed="false">
      <c r="A13" s="275" t="s">
        <v>892</v>
      </c>
      <c r="B13" s="274"/>
      <c r="C13" s="274"/>
      <c r="D13" s="274"/>
      <c r="E13" s="274"/>
    </row>
    <row r="14" customFormat="false" ht="48" hidden="false" customHeight="true" outlineLevel="0" collapsed="false">
      <c r="A14" s="92" t="s">
        <v>893</v>
      </c>
      <c r="B14" s="274" t="s">
        <v>894</v>
      </c>
      <c r="C14" s="274"/>
      <c r="D14" s="274"/>
      <c r="E14" s="274"/>
    </row>
    <row r="15" customFormat="false" ht="48" hidden="false" customHeight="true" outlineLevel="0" collapsed="false">
      <c r="A15" s="92" t="s">
        <v>895</v>
      </c>
      <c r="B15" s="274" t="s">
        <v>896</v>
      </c>
      <c r="C15" s="274"/>
      <c r="D15" s="274"/>
      <c r="E15" s="274"/>
    </row>
    <row r="16" customFormat="false" ht="48" hidden="false" customHeight="true" outlineLevel="0" collapsed="false">
      <c r="A16" s="92" t="s">
        <v>897</v>
      </c>
      <c r="B16" s="274" t="s">
        <v>898</v>
      </c>
      <c r="C16" s="274"/>
      <c r="D16" s="274"/>
      <c r="E16" s="274"/>
    </row>
    <row r="17" customFormat="false" ht="48" hidden="false" customHeight="true" outlineLevel="0" collapsed="false">
      <c r="A17" s="92" t="s">
        <v>899</v>
      </c>
      <c r="B17" s="274" t="s">
        <v>900</v>
      </c>
      <c r="C17" s="274"/>
      <c r="D17" s="274"/>
      <c r="E17" s="274"/>
    </row>
    <row r="18" customFormat="false" ht="48" hidden="false" customHeight="true" outlineLevel="0" collapsed="false">
      <c r="A18" s="274"/>
      <c r="B18" s="274"/>
      <c r="C18" s="274"/>
      <c r="D18" s="274"/>
      <c r="E18" s="274"/>
    </row>
    <row r="19" customFormat="false" ht="48" hidden="false" customHeight="true" outlineLevel="0" collapsed="false">
      <c r="A19" s="276" t="s">
        <v>901</v>
      </c>
      <c r="B19" s="274"/>
      <c r="C19" s="274"/>
      <c r="D19" s="274"/>
      <c r="E19" s="274"/>
    </row>
    <row r="20" customFormat="false" ht="15" hidden="false" customHeight="false" outlineLevel="0" collapsed="false">
      <c r="A20" s="270"/>
      <c r="B20" s="270"/>
      <c r="C20" s="270"/>
      <c r="D20" s="270"/>
      <c r="E20" s="270"/>
    </row>
    <row r="21" customFormat="false" ht="15" hidden="false" customHeight="true" outlineLevel="0" collapsed="false">
      <c r="A21" s="86"/>
      <c r="B21" s="270"/>
      <c r="C21" s="270"/>
      <c r="D21" s="270"/>
      <c r="E21" s="270"/>
    </row>
    <row r="22" customFormat="false" ht="15" hidden="false" customHeight="false" outlineLevel="0" collapsed="false">
      <c r="A22" s="270"/>
      <c r="B22" s="270"/>
      <c r="C22" s="270"/>
      <c r="D22" s="270"/>
      <c r="E22" s="270"/>
    </row>
    <row r="23" customFormat="false" ht="15" hidden="false" customHeight="false" outlineLevel="0" collapsed="false">
      <c r="A23" s="270"/>
      <c r="B23" s="270"/>
      <c r="C23" s="270"/>
      <c r="D23" s="270"/>
      <c r="E23" s="270"/>
    </row>
    <row r="24" customFormat="false" ht="15" hidden="false" customHeight="false" outlineLevel="0" collapsed="false">
      <c r="A24" s="270"/>
      <c r="B24" s="270"/>
      <c r="C24" s="270"/>
      <c r="D24" s="270"/>
      <c r="E24" s="270"/>
    </row>
    <row r="25" customFormat="false" ht="15" hidden="false" customHeight="true" outlineLevel="0" collapsed="false">
      <c r="A25" s="216"/>
      <c r="B25" s="270"/>
      <c r="C25" s="270"/>
      <c r="D25" s="270"/>
      <c r="E25" s="270"/>
    </row>
    <row r="26" customFormat="false" ht="15" hidden="false" customHeight="true" outlineLevel="0" collapsed="false">
      <c r="A26" s="86"/>
      <c r="B26" s="86"/>
      <c r="C26" s="86"/>
      <c r="D26" s="270"/>
      <c r="E26" s="270"/>
    </row>
    <row r="27" customFormat="false" ht="15" hidden="false" customHeight="true" outlineLevel="0" collapsed="false">
      <c r="A27" s="86"/>
      <c r="B27" s="86"/>
      <c r="C27" s="86"/>
      <c r="D27" s="270"/>
      <c r="E27" s="270"/>
    </row>
    <row r="28" customFormat="false" ht="15" hidden="false" customHeight="true" outlineLevel="0" collapsed="false">
      <c r="A28" s="86"/>
      <c r="B28" s="86"/>
      <c r="C28" s="86"/>
      <c r="D28" s="270"/>
      <c r="E28" s="270"/>
    </row>
    <row r="29" customFormat="false" ht="15" hidden="false" customHeight="true" outlineLevel="0" collapsed="false">
      <c r="A29" s="86"/>
      <c r="B29" s="86"/>
      <c r="C29" s="86"/>
      <c r="D29" s="270"/>
      <c r="E29" s="27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9" min="2" style="1" width="11"/>
  </cols>
  <sheetData>
    <row r="1" customFormat="false" ht="15" hidden="false" customHeight="true" outlineLevel="0" collapsed="false">
      <c r="A1" s="41" t="s">
        <v>902</v>
      </c>
    </row>
    <row r="2" customFormat="false" ht="15" hidden="false" customHeight="true" outlineLevel="0" collapsed="false">
      <c r="A2" s="9" t="s">
        <v>903</v>
      </c>
    </row>
    <row r="4" customFormat="false" ht="15" hidden="false" customHeight="true" outlineLevel="0" collapsed="false">
      <c r="A4" s="34" t="s">
        <v>904</v>
      </c>
      <c r="D4" s="34" t="s">
        <v>905</v>
      </c>
    </row>
    <row r="5" customFormat="false" ht="15" hidden="false" customHeight="true" outlineLevel="0" collapsed="false">
      <c r="A5" s="1" t="s">
        <v>906</v>
      </c>
      <c r="B5" s="1" t="s">
        <v>907</v>
      </c>
      <c r="D5" s="220" t="s">
        <v>204</v>
      </c>
      <c r="E5" s="220" t="s">
        <v>517</v>
      </c>
      <c r="F5" s="220" t="s">
        <v>115</v>
      </c>
      <c r="G5" s="220" t="s">
        <v>114</v>
      </c>
    </row>
    <row r="6" customFormat="false" ht="15" hidden="false" customHeight="true" outlineLevel="0" collapsed="false">
      <c r="A6" s="1" t="s">
        <v>908</v>
      </c>
      <c r="B6" s="228" t="n">
        <f aca="false">'1. Press Assumptions'!$B$22</f>
        <v>0.85</v>
      </c>
      <c r="D6" s="1" t="s">
        <v>909</v>
      </c>
      <c r="E6" s="38" t="n">
        <f aca="false">'1. Press Assumptions'!$D$89</f>
        <v>25</v>
      </c>
      <c r="F6" s="1" t="n">
        <f aca="false">'1. Press Assumptions'!$K$89</f>
        <v>4</v>
      </c>
      <c r="G6" s="1" t="n">
        <v>0.95</v>
      </c>
    </row>
    <row r="7" customFormat="false" ht="15" hidden="false" customHeight="true" outlineLevel="0" collapsed="false">
      <c r="A7" s="1" t="s">
        <v>910</v>
      </c>
      <c r="B7" s="228" t="n">
        <f aca="false">'1. Press Assumptions'!$B$137</f>
        <v>1</v>
      </c>
      <c r="D7" s="1" t="s">
        <v>911</v>
      </c>
      <c r="E7" s="38" t="n">
        <f aca="false">'1. Press Assumptions'!$D$90</f>
        <v>25</v>
      </c>
      <c r="F7" s="1" t="n">
        <f aca="false">'1. Press Assumptions'!$K$90</f>
        <v>8</v>
      </c>
      <c r="G7" s="1" t="n">
        <v>0.9</v>
      </c>
    </row>
    <row r="8" customFormat="false" ht="15" hidden="false" customHeight="true" outlineLevel="0" collapsed="false">
      <c r="A8" s="1" t="s">
        <v>912</v>
      </c>
      <c r="B8" s="228" t="n">
        <f aca="false">'1. Press Assumptions'!$B$30</f>
        <v>0.1</v>
      </c>
      <c r="D8" s="1" t="s">
        <v>913</v>
      </c>
      <c r="E8" s="38" t="n">
        <f aca="false">'1. Press Assumptions'!$D$91</f>
        <v>25</v>
      </c>
      <c r="F8" s="1" t="n">
        <f aca="false">'1. Press Assumptions'!$K$91</f>
        <v>12</v>
      </c>
      <c r="G8" s="1" t="n">
        <v>0.85</v>
      </c>
    </row>
    <row r="9" customFormat="false" ht="15" hidden="false" customHeight="true" outlineLevel="0" collapsed="false">
      <c r="A9" s="1" t="s">
        <v>914</v>
      </c>
      <c r="B9" s="228" t="n">
        <f aca="false">'1. Press Assumptions'!$B$31</f>
        <v>0.05</v>
      </c>
      <c r="D9" s="1" t="s">
        <v>915</v>
      </c>
      <c r="E9" s="38" t="n">
        <f aca="false">'1. Press Assumptions'!$D$92</f>
        <v>25</v>
      </c>
      <c r="F9" s="1" t="n">
        <f aca="false">'1. Press Assumptions'!$K$92</f>
        <v>16</v>
      </c>
      <c r="G9" s="1" t="n">
        <v>0.85</v>
      </c>
    </row>
    <row r="10" customFormat="false" ht="15" hidden="false" customHeight="true" outlineLevel="0" collapsed="false">
      <c r="A10" s="1" t="s">
        <v>916</v>
      </c>
      <c r="B10" s="228" t="n">
        <f aca="false">'1. Press Assumptions'!$B$32</f>
        <v>0.06</v>
      </c>
      <c r="D10" s="1" t="s">
        <v>917</v>
      </c>
      <c r="E10" s="38" t="n">
        <f aca="false">'1. Press Assumptions'!$D$93</f>
        <v>18</v>
      </c>
      <c r="F10" s="1" t="n">
        <f aca="false">'1. Press Assumptions'!$K$93</f>
        <v>32</v>
      </c>
      <c r="G10" s="1" t="n">
        <v>0.95</v>
      </c>
    </row>
    <row r="11" customFormat="false" ht="15" hidden="false" customHeight="true" outlineLevel="0" collapsed="false">
      <c r="A11" s="1" t="s">
        <v>918</v>
      </c>
      <c r="B11" s="228" t="n">
        <f aca="false">'1. Press Assumptions'!$B$39</f>
        <v>0.1</v>
      </c>
      <c r="D11" s="1" t="s">
        <v>919</v>
      </c>
      <c r="E11" s="38" t="n">
        <f aca="false">'1. Press Assumptions'!$D$96</f>
        <v>0</v>
      </c>
      <c r="F11" s="1" t="n">
        <f aca="false">'1. Press Assumptions'!$K$96</f>
        <v>999</v>
      </c>
      <c r="G11" s="1" t="n">
        <v>0.95</v>
      </c>
    </row>
    <row r="12" customFormat="false" ht="15" hidden="false" customHeight="true" outlineLevel="0" collapsed="false">
      <c r="A12" s="1" t="s">
        <v>920</v>
      </c>
      <c r="B12" s="228" t="n">
        <f aca="false">'1. Press Assumptions'!$B$40</f>
        <v>0.8</v>
      </c>
      <c r="D12" s="1" t="s">
        <v>921</v>
      </c>
      <c r="E12" s="38" t="n">
        <f aca="false">'1. Press Assumptions'!$D$97</f>
        <v>0</v>
      </c>
      <c r="F12" s="1" t="n">
        <f aca="false">'1. Press Assumptions'!$K$97</f>
        <v>999</v>
      </c>
      <c r="G12" s="1" t="n">
        <v>0.95</v>
      </c>
    </row>
    <row r="13" customFormat="false" ht="15" hidden="false" customHeight="true" outlineLevel="0" collapsed="false">
      <c r="A13" s="1" t="s">
        <v>922</v>
      </c>
      <c r="B13" s="228" t="n">
        <f aca="false">'1. Press Assumptions'!$B$41</f>
        <v>0.8</v>
      </c>
      <c r="D13" s="1" t="s">
        <v>923</v>
      </c>
      <c r="E13" s="38" t="n">
        <f aca="false">'1. Press Assumptions'!$D$98</f>
        <v>0</v>
      </c>
      <c r="F13" s="1" t="n">
        <f aca="false">'1. Press Assumptions'!$K$98</f>
        <v>999</v>
      </c>
      <c r="G13" s="1" t="n">
        <v>0.95</v>
      </c>
    </row>
    <row r="14" customFormat="false" ht="15" hidden="false" customHeight="true" outlineLevel="0" collapsed="false">
      <c r="A14" s="1" t="s">
        <v>924</v>
      </c>
      <c r="B14" s="228" t="n">
        <f aca="false">'1. Press Assumptions'!$B$42</f>
        <v>0.8</v>
      </c>
      <c r="D14" s="1" t="s">
        <v>925</v>
      </c>
      <c r="E14" s="38" t="n">
        <f aca="false">'1. Press Assumptions'!$D$99</f>
        <v>0</v>
      </c>
      <c r="F14" s="1" t="n">
        <f aca="false">'1. Press Assumptions'!$K$99</f>
        <v>999</v>
      </c>
      <c r="G14" s="1" t="n">
        <v>0.95</v>
      </c>
    </row>
    <row r="15" customFormat="false" ht="15" hidden="false" customHeight="true" outlineLevel="0" collapsed="false">
      <c r="A15" s="1" t="s">
        <v>926</v>
      </c>
      <c r="B15" s="1" t="n">
        <f aca="false">'1. Press Assumptions'!$B$5*0.02/1000000</f>
        <v>3</v>
      </c>
    </row>
    <row r="16" customFormat="false" ht="15" hidden="false" customHeight="true" outlineLevel="0" collapsed="false">
      <c r="A16" s="1" t="s">
        <v>927</v>
      </c>
      <c r="B16" s="277" t="n">
        <f aca="false">'1. Press Assumptions'!$B$110</f>
        <v>35000</v>
      </c>
    </row>
    <row r="17" customFormat="false" ht="15" hidden="false" customHeight="true" outlineLevel="0" collapsed="false">
      <c r="A17" s="1" t="s">
        <v>928</v>
      </c>
      <c r="B17" s="1" t="n">
        <v>0.5</v>
      </c>
    </row>
    <row r="18" customFormat="false" ht="15" hidden="false" customHeight="true" outlineLevel="0" collapsed="false">
      <c r="A18" s="1" t="s">
        <v>929</v>
      </c>
      <c r="B18" s="278" t="n">
        <f aca="false">'1. Press Assumptions'!$B$103</f>
        <v>140</v>
      </c>
    </row>
    <row r="19" customFormat="false" ht="15" hidden="false" customHeight="true" outlineLevel="0" collapsed="false">
      <c r="A19" s="1" t="s">
        <v>930</v>
      </c>
      <c r="B19" s="278" t="n">
        <f aca="false">'1. Press Assumptions'!$B$115</f>
        <v>120</v>
      </c>
    </row>
    <row r="20" customFormat="false" ht="15" hidden="false" customHeight="true" outlineLevel="0" collapsed="false">
      <c r="A20" s="1" t="s">
        <v>931</v>
      </c>
      <c r="B20" s="215" t="n">
        <f aca="false">'1. Press Assumptions'!$B$116</f>
        <v>0</v>
      </c>
    </row>
    <row r="21" customFormat="false" ht="15" hidden="false" customHeight="true" outlineLevel="0" collapsed="false">
      <c r="A21" s="1" t="s">
        <v>932</v>
      </c>
      <c r="B21" s="278" t="n">
        <f aca="false">'1. Press Assumptions'!$B$117</f>
        <v>0</v>
      </c>
    </row>
    <row r="22" customFormat="false" ht="15" hidden="false" customHeight="true" outlineLevel="0" collapsed="false">
      <c r="A22" s="1" t="s">
        <v>933</v>
      </c>
      <c r="B22" s="1" t="n">
        <f aca="false">'1. Press Assumptions'!$B$5/1000000</f>
        <v>150</v>
      </c>
    </row>
    <row r="23" customFormat="false" ht="15" hidden="false" customHeight="true" outlineLevel="0" collapsed="false">
      <c r="A23" s="1" t="s">
        <v>934</v>
      </c>
      <c r="B23" s="1" t="n">
        <v>0.5</v>
      </c>
    </row>
    <row r="24" customFormat="false" ht="15" hidden="false" customHeight="true" outlineLevel="0" collapsed="false">
      <c r="A24" s="1" t="s">
        <v>935</v>
      </c>
      <c r="B24" s="278" t="n">
        <f aca="false">'1. Press Assumptions'!$B$81</f>
        <v>40</v>
      </c>
    </row>
    <row r="30" customFormat="false" ht="27.75" hidden="false" customHeight="true" outlineLevel="0" collapsed="false">
      <c r="A30" s="90" t="s">
        <v>936</v>
      </c>
      <c r="B30" s="90" t="s">
        <v>552</v>
      </c>
      <c r="C30" s="90" t="s">
        <v>937</v>
      </c>
      <c r="D30" s="90" t="s">
        <v>938</v>
      </c>
      <c r="E30" s="90" t="s">
        <v>939</v>
      </c>
      <c r="F30" s="90" t="s">
        <v>940</v>
      </c>
      <c r="G30" s="90" t="s">
        <v>941</v>
      </c>
      <c r="H30" s="90" t="s">
        <v>942</v>
      </c>
      <c r="I30" s="90" t="s">
        <v>943</v>
      </c>
      <c r="J30" s="90" t="s">
        <v>944</v>
      </c>
      <c r="K30" s="90" t="s">
        <v>945</v>
      </c>
      <c r="L30" s="90" t="s">
        <v>946</v>
      </c>
      <c r="M30" s="90" t="s">
        <v>947</v>
      </c>
      <c r="N30" s="90" t="s">
        <v>948</v>
      </c>
      <c r="O30" s="90" t="s">
        <v>949</v>
      </c>
      <c r="P30" s="90" t="s">
        <v>234</v>
      </c>
      <c r="Q30" s="90" t="s">
        <v>33</v>
      </c>
      <c r="R30" s="90" t="s">
        <v>950</v>
      </c>
      <c r="S30" s="90" t="s">
        <v>951</v>
      </c>
      <c r="T30" s="90" t="s">
        <v>952</v>
      </c>
      <c r="U30" s="90" t="s">
        <v>867</v>
      </c>
      <c r="V30" s="90" t="s">
        <v>244</v>
      </c>
      <c r="W30" s="90" t="s">
        <v>559</v>
      </c>
      <c r="X30" s="90" t="s">
        <v>953</v>
      </c>
      <c r="Y30" s="90" t="s">
        <v>954</v>
      </c>
      <c r="Z30" s="90" t="s">
        <v>955</v>
      </c>
      <c r="AA30" s="90" t="s">
        <v>526</v>
      </c>
      <c r="AB30" s="90" t="s">
        <v>956</v>
      </c>
    </row>
    <row r="31" customFormat="false" ht="15" hidden="false" customHeight="true" outlineLevel="0" collapsed="false">
      <c r="A31" s="1" t="n">
        <v>1</v>
      </c>
      <c r="B31" s="1" t="n">
        <f aca="false">CEILING(A31/12,1)</f>
        <v>1</v>
      </c>
      <c r="C31" s="1" t="n">
        <f aca="false">IF(A31&lt;=18, $B$15/12, 0)</f>
        <v>0.25</v>
      </c>
      <c r="D31" s="1" t="n">
        <f aca="false">INDEX('26. Team Comp'!$D$28:$R$28, B31) * 0.001 / 12</f>
        <v>0.288105825</v>
      </c>
      <c r="E31" s="1" t="n">
        <f aca="false"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>0</v>
      </c>
      <c r="F31" s="1" t="n">
        <f aca="false">IF(A31&lt;$F$6, 0, IF(AND($B$21=1, A31&gt;$B$19), 0, $E$6 * $G$6^((A31-$F$6)/12)))</f>
        <v>0</v>
      </c>
      <c r="G31" s="1" t="n">
        <f aca="false">IF(A31&lt;$F$7, 0, IF(AND($B$21=1, A31&gt;$B$19), 0, $E$7 * $G$7^((A31-$F$7)/12)))</f>
        <v>0</v>
      </c>
      <c r="H31" s="1" t="n">
        <f aca="false">IF(A31&lt;$F$8, 0, IF(AND($B$21=1, A31&gt;$B$19), 0, $E$8 * $G$8^((A31-$F$8)/12)))</f>
        <v>0</v>
      </c>
      <c r="I31" s="1" t="n">
        <f aca="false">IF(A31&lt;$F$9, 0, IF(AND($B$21=1, A31&gt;$B$19), 0, $E$9 * $G$9^((A31-$F$9)/12)))</f>
        <v>0</v>
      </c>
      <c r="J31" s="1" t="n">
        <f aca="false">IF(A31&lt;$F$10, 0, IF(AND($B$21=1, A31&gt;$B$19), 0, $E$10 * $G$10^((A31-$F$10)/12)))</f>
        <v>0</v>
      </c>
      <c r="K31" s="1" t="n">
        <f aca="false">IF(A31&lt;$F$11, 0, IF(AND($B$21=1, A31&gt;$B$19), 0, $E$11 * $G$11^((A31-$F$11)/12)))</f>
        <v>0</v>
      </c>
      <c r="L31" s="1" t="n">
        <f aca="false">IF(A31&lt;$F$12, 0, IF(AND($B$21=1, A31&gt;$B$19), 0, $E$12 * $G$12^((A31-$F$12)/12)))</f>
        <v>0</v>
      </c>
      <c r="M31" s="1" t="n">
        <f aca="false">IF(A31&lt;$F$13, 0, IF(AND($B$21=1, A31&gt;$B$19), 0, $E$13 * $G$13^((A31-$F$13)/12)))</f>
        <v>0</v>
      </c>
      <c r="N31" s="1" t="n">
        <f aca="false">IF(A31&lt;$F$14, 0, IF(AND($B$21=1, A31&gt;$B$19), 0, $E$14 * $G$14^((A31-$F$14)/12)))</f>
        <v>0</v>
      </c>
      <c r="O31" s="1" t="n">
        <f aca="false">SUM(F31:N31)</f>
        <v>0</v>
      </c>
      <c r="P31" s="1" t="n">
        <f aca="false">O31/12</f>
        <v>0</v>
      </c>
      <c r="Q31" s="1" t="n">
        <f aca="false">P31*$B$8</f>
        <v>0</v>
      </c>
      <c r="R31" s="1" t="n">
        <f aca="false">P31*$B$9</f>
        <v>0</v>
      </c>
      <c r="S31" s="1" t="n">
        <f aca="false">P31*$B$10</f>
        <v>0</v>
      </c>
      <c r="T31" s="1" t="n">
        <f aca="false">P31-Q31-R31-S31-D31-E31</f>
        <v>-0.288105825</v>
      </c>
      <c r="U31" s="1" t="n">
        <f aca="false">MAX(0, T31 - $B$7*P31)</f>
        <v>0</v>
      </c>
      <c r="V31" s="1" t="n">
        <f aca="false">T31-U31</f>
        <v>-0.288105825</v>
      </c>
      <c r="W31" s="1" t="n">
        <f aca="false"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>0</v>
      </c>
      <c r="X31" s="1" t="n">
        <f aca="false">V31-W31-C31</f>
        <v>-0.538105825</v>
      </c>
      <c r="Y31" s="1" t="n">
        <f aca="false">IF(AND(A31&lt;=$F$10, X31&gt;0), X31*$B$23, 0)</f>
        <v>0</v>
      </c>
      <c r="Z31" s="1" t="n">
        <f aca="false">X31-Y31+IF(A31=$F$10+1, MAX(0, SUM(INDEX(Y:Y,31):INDEX(Y:Y,30+$F$10)) - ('1. Press Assumptions'!$D$93*'1. Press Assumptions'!$E$93 - '1. Press Assumptions'!$D$93*0.1154*0.5)), 0)</f>
        <v>-0.538105825</v>
      </c>
      <c r="AA31" s="1" t="n">
        <f aca="false">IF(AND(A31=$B$19, $B$21=1), O31*$B$20, 0)</f>
        <v>0</v>
      </c>
      <c r="AB31" s="1" t="n">
        <f aca="false">Z31+AA31</f>
        <v>-0.538105825</v>
      </c>
    </row>
    <row r="32" customFormat="false" ht="15" hidden="false" customHeight="true" outlineLevel="0" collapsed="false">
      <c r="A32" s="1" t="n">
        <v>2</v>
      </c>
      <c r="B32" s="1" t="n">
        <f aca="false">CEILING(A32/12,1)</f>
        <v>1</v>
      </c>
      <c r="C32" s="1" t="n">
        <f aca="false">IF(A32&lt;=18, $B$15/12, 0)</f>
        <v>0.25</v>
      </c>
      <c r="D32" s="1" t="n">
        <f aca="false">INDEX('26. Team Comp'!$D$28:$R$28, B32) * 0.001 / 12</f>
        <v>0.288105825</v>
      </c>
      <c r="E32" s="1" t="n">
        <f aca="false"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>0</v>
      </c>
      <c r="F32" s="1" t="n">
        <f aca="false">IF(A32&lt;$F$6, 0, IF(AND($B$21=1, A32&gt;$B$19), 0, $E$6 * $G$6^((A32-$F$6)/12)))</f>
        <v>0</v>
      </c>
      <c r="G32" s="1" t="n">
        <f aca="false">IF(A32&lt;$F$7, 0, IF(AND($B$21=1, A32&gt;$B$19), 0, $E$7 * $G$7^((A32-$F$7)/12)))</f>
        <v>0</v>
      </c>
      <c r="H32" s="1" t="n">
        <f aca="false">IF(A32&lt;$F$8, 0, IF(AND($B$21=1, A32&gt;$B$19), 0, $E$8 * $G$8^((A32-$F$8)/12)))</f>
        <v>0</v>
      </c>
      <c r="I32" s="1" t="n">
        <f aca="false">IF(A32&lt;$F$9, 0, IF(AND($B$21=1, A32&gt;$B$19), 0, $E$9 * $G$9^((A32-$F$9)/12)))</f>
        <v>0</v>
      </c>
      <c r="J32" s="1" t="n">
        <f aca="false">IF(A32&lt;$F$10, 0, IF(AND($B$21=1, A32&gt;$B$19), 0, $E$10 * $G$10^((A32-$F$10)/12)))</f>
        <v>0</v>
      </c>
      <c r="K32" s="1" t="n">
        <f aca="false">IF(A32&lt;$F$11, 0, IF(AND($B$21=1, A32&gt;$B$19), 0, $E$11 * $G$11^((A32-$F$11)/12)))</f>
        <v>0</v>
      </c>
      <c r="L32" s="1" t="n">
        <f aca="false">IF(A32&lt;$F$12, 0, IF(AND($B$21=1, A32&gt;$B$19), 0, $E$12 * $G$12^((A32-$F$12)/12)))</f>
        <v>0</v>
      </c>
      <c r="M32" s="1" t="n">
        <f aca="false">IF(A32&lt;$F$13, 0, IF(AND($B$21=1, A32&gt;$B$19), 0, $E$13 * $G$13^((A32-$F$13)/12)))</f>
        <v>0</v>
      </c>
      <c r="N32" s="1" t="n">
        <f aca="false">IF(A32&lt;$F$14, 0, IF(AND($B$21=1, A32&gt;$B$19), 0, $E$14 * $G$14^((A32-$F$14)/12)))</f>
        <v>0</v>
      </c>
      <c r="O32" s="1" t="n">
        <f aca="false">SUM(F32:N32)</f>
        <v>0</v>
      </c>
      <c r="P32" s="1" t="n">
        <f aca="false">O32/12</f>
        <v>0</v>
      </c>
      <c r="Q32" s="1" t="n">
        <f aca="false">P32*$B$8</f>
        <v>0</v>
      </c>
      <c r="R32" s="1" t="n">
        <f aca="false">P32*$B$9</f>
        <v>0</v>
      </c>
      <c r="S32" s="1" t="n">
        <f aca="false">P32*$B$10</f>
        <v>0</v>
      </c>
      <c r="T32" s="1" t="n">
        <f aca="false">P32-Q32-R32-S32-D32-E32</f>
        <v>-0.288105825</v>
      </c>
      <c r="U32" s="1" t="n">
        <f aca="false">MAX(0, T32 - $B$7*P32)</f>
        <v>0</v>
      </c>
      <c r="V32" s="1" t="n">
        <f aca="false">T32-U32</f>
        <v>-0.288105825</v>
      </c>
      <c r="W32" s="1" t="n">
        <f aca="false"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>0</v>
      </c>
      <c r="X32" s="1" t="n">
        <f aca="false">V32-W32-C32</f>
        <v>-0.538105825</v>
      </c>
      <c r="Y32" s="1" t="n">
        <f aca="false">IF(AND(A32&lt;=$F$10, X32&gt;0), X32*$B$23, 0)</f>
        <v>0</v>
      </c>
      <c r="Z32" s="1" t="n">
        <f aca="false">X32-Y32+IF(A32=$F$10+1, MAX(0, SUM(INDEX(Y:Y,31):INDEX(Y:Y,30+$F$10)) - ('1. Press Assumptions'!$D$93*'1. Press Assumptions'!$E$93 - '1. Press Assumptions'!$D$93*0.1154*0.5)), 0)</f>
        <v>-0.538105825</v>
      </c>
      <c r="AA32" s="1" t="n">
        <f aca="false">IF(AND(A32=$B$19, $B$21=1), O32*$B$20, 0)</f>
        <v>0</v>
      </c>
      <c r="AB32" s="1" t="n">
        <f aca="false">AB31+Z32+AA32</f>
        <v>-1.07621165</v>
      </c>
    </row>
    <row r="33" customFormat="false" ht="15" hidden="false" customHeight="true" outlineLevel="0" collapsed="false">
      <c r="A33" s="1" t="n">
        <v>3</v>
      </c>
      <c r="B33" s="1" t="n">
        <f aca="false">CEILING(A33/12,1)</f>
        <v>1</v>
      </c>
      <c r="C33" s="1" t="n">
        <f aca="false">IF(A33&lt;=18, $B$15/12, 0)</f>
        <v>0.25</v>
      </c>
      <c r="D33" s="1" t="n">
        <f aca="false">INDEX('26. Team Comp'!$D$28:$R$28, B33) * 0.001 / 12</f>
        <v>0.288105825</v>
      </c>
      <c r="E33" s="1" t="n">
        <f aca="false"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>0</v>
      </c>
      <c r="F33" s="1" t="n">
        <f aca="false">IF(A33&lt;$F$6, 0, IF(AND($B$21=1, A33&gt;$B$19), 0, $E$6 * $G$6^((A33-$F$6)/12)))</f>
        <v>0</v>
      </c>
      <c r="G33" s="1" t="n">
        <f aca="false">IF(A33&lt;$F$7, 0, IF(AND($B$21=1, A33&gt;$B$19), 0, $E$7 * $G$7^((A33-$F$7)/12)))</f>
        <v>0</v>
      </c>
      <c r="H33" s="1" t="n">
        <f aca="false">IF(A33&lt;$F$8, 0, IF(AND($B$21=1, A33&gt;$B$19), 0, $E$8 * $G$8^((A33-$F$8)/12)))</f>
        <v>0</v>
      </c>
      <c r="I33" s="1" t="n">
        <f aca="false">IF(A33&lt;$F$9, 0, IF(AND($B$21=1, A33&gt;$B$19), 0, $E$9 * $G$9^((A33-$F$9)/12)))</f>
        <v>0</v>
      </c>
      <c r="J33" s="1" t="n">
        <f aca="false">IF(A33&lt;$F$10, 0, IF(AND($B$21=1, A33&gt;$B$19), 0, $E$10 * $G$10^((A33-$F$10)/12)))</f>
        <v>0</v>
      </c>
      <c r="K33" s="1" t="n">
        <f aca="false">IF(A33&lt;$F$11, 0, IF(AND($B$21=1, A33&gt;$B$19), 0, $E$11 * $G$11^((A33-$F$11)/12)))</f>
        <v>0</v>
      </c>
      <c r="L33" s="1" t="n">
        <f aca="false">IF(A33&lt;$F$12, 0, IF(AND($B$21=1, A33&gt;$B$19), 0, $E$12 * $G$12^((A33-$F$12)/12)))</f>
        <v>0</v>
      </c>
      <c r="M33" s="1" t="n">
        <f aca="false">IF(A33&lt;$F$13, 0, IF(AND($B$21=1, A33&gt;$B$19), 0, $E$13 * $G$13^((A33-$F$13)/12)))</f>
        <v>0</v>
      </c>
      <c r="N33" s="1" t="n">
        <f aca="false">IF(A33&lt;$F$14, 0, IF(AND($B$21=1, A33&gt;$B$19), 0, $E$14 * $G$14^((A33-$F$14)/12)))</f>
        <v>0</v>
      </c>
      <c r="O33" s="1" t="n">
        <f aca="false">SUM(F33:N33)</f>
        <v>0</v>
      </c>
      <c r="P33" s="1" t="n">
        <f aca="false">O33/12</f>
        <v>0</v>
      </c>
      <c r="Q33" s="1" t="n">
        <f aca="false">P33*$B$8</f>
        <v>0</v>
      </c>
      <c r="R33" s="1" t="n">
        <f aca="false">P33*$B$9</f>
        <v>0</v>
      </c>
      <c r="S33" s="1" t="n">
        <f aca="false">P33*$B$10</f>
        <v>0</v>
      </c>
      <c r="T33" s="1" t="n">
        <f aca="false">P33-Q33-R33-S33-D33-E33</f>
        <v>-0.288105825</v>
      </c>
      <c r="U33" s="1" t="n">
        <f aca="false">MAX(0, T33 - $B$7*P33)</f>
        <v>0</v>
      </c>
      <c r="V33" s="1" t="n">
        <f aca="false">T33-U33</f>
        <v>-0.288105825</v>
      </c>
      <c r="W33" s="1" t="n">
        <f aca="false"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>0</v>
      </c>
      <c r="X33" s="1" t="n">
        <f aca="false">V33-W33-C33</f>
        <v>-0.538105825</v>
      </c>
      <c r="Y33" s="1" t="n">
        <f aca="false">IF(AND(A33&lt;=$F$10, X33&gt;0), X33*$B$23, 0)</f>
        <v>0</v>
      </c>
      <c r="Z33" s="1" t="n">
        <f aca="false">X33-Y33+IF(A33=$F$10+1, MAX(0, SUM(INDEX(Y:Y,31):INDEX(Y:Y,30+$F$10)) - ('1. Press Assumptions'!$D$93*'1. Press Assumptions'!$E$93 - '1. Press Assumptions'!$D$93*0.1154*0.5)), 0)</f>
        <v>-0.538105825</v>
      </c>
      <c r="AA33" s="1" t="n">
        <f aca="false">IF(AND(A33=$B$19, $B$21=1), O33*$B$20, 0)</f>
        <v>0</v>
      </c>
      <c r="AB33" s="1" t="n">
        <f aca="false">AB32+Z33+AA33</f>
        <v>-1.614317475</v>
      </c>
    </row>
    <row r="34" customFormat="false" ht="15" hidden="false" customHeight="true" outlineLevel="0" collapsed="false">
      <c r="A34" s="1" t="n">
        <v>4</v>
      </c>
      <c r="B34" s="1" t="n">
        <f aca="false">CEILING(A34/12,1)</f>
        <v>1</v>
      </c>
      <c r="C34" s="1" t="n">
        <f aca="false">IF(A34&lt;=18, $B$15/12, 0)</f>
        <v>0.25</v>
      </c>
      <c r="D34" s="1" t="n">
        <f aca="false">INDEX('26. Team Comp'!$D$28:$R$28, B34) * 0.001 / 12</f>
        <v>0.288105825</v>
      </c>
      <c r="E34" s="1" t="n">
        <f aca="false"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>1.16666666666667</v>
      </c>
      <c r="F34" s="1" t="n">
        <f aca="false">IF(A34&lt;$F$6, 0, IF(AND($B$21=1, A34&gt;$B$19), 0, $E$6 * $G$6^((A34-$F$6)/12)))</f>
        <v>25</v>
      </c>
      <c r="G34" s="1" t="n">
        <f aca="false">IF(A34&lt;$F$7, 0, IF(AND($B$21=1, A34&gt;$B$19), 0, $E$7 * $G$7^((A34-$F$7)/12)))</f>
        <v>0</v>
      </c>
      <c r="H34" s="1" t="n">
        <f aca="false">IF(A34&lt;$F$8, 0, IF(AND($B$21=1, A34&gt;$B$19), 0, $E$8 * $G$8^((A34-$F$8)/12)))</f>
        <v>0</v>
      </c>
      <c r="I34" s="1" t="n">
        <f aca="false">IF(A34&lt;$F$9, 0, IF(AND($B$21=1, A34&gt;$B$19), 0, $E$9 * $G$9^((A34-$F$9)/12)))</f>
        <v>0</v>
      </c>
      <c r="J34" s="1" t="n">
        <f aca="false">IF(A34&lt;$F$10, 0, IF(AND($B$21=1, A34&gt;$B$19), 0, $E$10 * $G$10^((A34-$F$10)/12)))</f>
        <v>0</v>
      </c>
      <c r="K34" s="1" t="n">
        <f aca="false">IF(A34&lt;$F$11, 0, IF(AND($B$21=1, A34&gt;$B$19), 0, $E$11 * $G$11^((A34-$F$11)/12)))</f>
        <v>0</v>
      </c>
      <c r="L34" s="1" t="n">
        <f aca="false">IF(A34&lt;$F$12, 0, IF(AND($B$21=1, A34&gt;$B$19), 0, $E$12 * $G$12^((A34-$F$12)/12)))</f>
        <v>0</v>
      </c>
      <c r="M34" s="1" t="n">
        <f aca="false">IF(A34&lt;$F$13, 0, IF(AND($B$21=1, A34&gt;$B$19), 0, $E$13 * $G$13^((A34-$F$13)/12)))</f>
        <v>0</v>
      </c>
      <c r="N34" s="1" t="n">
        <f aca="false">IF(A34&lt;$F$14, 0, IF(AND($B$21=1, A34&gt;$B$19), 0, $E$14 * $G$14^((A34-$F$14)/12)))</f>
        <v>0</v>
      </c>
      <c r="O34" s="1" t="n">
        <f aca="false">SUM(F34:N34)</f>
        <v>25</v>
      </c>
      <c r="P34" s="1" t="n">
        <f aca="false">O34/12</f>
        <v>2.08333333333333</v>
      </c>
      <c r="Q34" s="1" t="n">
        <f aca="false">P34*$B$8</f>
        <v>0.208333333333333</v>
      </c>
      <c r="R34" s="1" t="n">
        <f aca="false">P34*$B$9</f>
        <v>0.104166666666667</v>
      </c>
      <c r="S34" s="1" t="n">
        <f aca="false">P34*$B$10</f>
        <v>0.125</v>
      </c>
      <c r="T34" s="1" t="n">
        <f aca="false">P34-Q34-R34-S34-D34-E34</f>
        <v>0.191060841666667</v>
      </c>
      <c r="U34" s="1" t="n">
        <f aca="false">MAX(0, T34 - $B$7*P34)</f>
        <v>0</v>
      </c>
      <c r="V34" s="1" t="n">
        <f aca="false">T34-U34</f>
        <v>0.191060841666667</v>
      </c>
      <c r="W34" s="1" t="n">
        <f aca="false"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>2.45</v>
      </c>
      <c r="X34" s="1" t="n">
        <f aca="false">V34-W34-C34</f>
        <v>-2.50893915833333</v>
      </c>
      <c r="Y34" s="1" t="n">
        <f aca="false">IF(AND(A34&lt;=$F$10, X34&gt;0), X34*$B$23, 0)</f>
        <v>0</v>
      </c>
      <c r="Z34" s="1" t="n">
        <f aca="false">X34-Y34+IF(A34=$F$10+1, MAX(0, SUM(INDEX(Y:Y,31):INDEX(Y:Y,30+$F$10)) - ('1. Press Assumptions'!$D$93*'1. Press Assumptions'!$E$93 - '1. Press Assumptions'!$D$93*0.1154*0.5)), 0)</f>
        <v>-2.50893915833333</v>
      </c>
      <c r="AA34" s="1" t="n">
        <f aca="false">IF(AND(A34=$B$19, $B$21=1), O34*$B$20, 0)</f>
        <v>0</v>
      </c>
      <c r="AB34" s="1" t="n">
        <f aca="false">AB33+Z34+AA34</f>
        <v>-4.12325663333333</v>
      </c>
    </row>
    <row r="35" customFormat="false" ht="15" hidden="false" customHeight="true" outlineLevel="0" collapsed="false">
      <c r="A35" s="1" t="n">
        <v>5</v>
      </c>
      <c r="B35" s="1" t="n">
        <f aca="false">CEILING(A35/12,1)</f>
        <v>1</v>
      </c>
      <c r="C35" s="1" t="n">
        <f aca="false">IF(A35&lt;=18, $B$15/12, 0)</f>
        <v>0.25</v>
      </c>
      <c r="D35" s="1" t="n">
        <f aca="false">INDEX('26. Team Comp'!$D$28:$R$28, B35) * 0.001 / 12</f>
        <v>0.288105825</v>
      </c>
      <c r="E35" s="1" t="n">
        <f aca="false"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>0.98</v>
      </c>
      <c r="F35" s="1" t="n">
        <f aca="false">IF(A35&lt;$F$6, 0, IF(AND($B$21=1, A35&gt;$B$19), 0, $E$6 * $G$6^((A35-$F$6)/12)))</f>
        <v>24.893367030561</v>
      </c>
      <c r="G35" s="1" t="n">
        <f aca="false">IF(A35&lt;$F$7, 0, IF(AND($B$21=1, A35&gt;$B$19), 0, $E$7 * $G$7^((A35-$F$7)/12)))</f>
        <v>0</v>
      </c>
      <c r="H35" s="1" t="n">
        <f aca="false">IF(A35&lt;$F$8, 0, IF(AND($B$21=1, A35&gt;$B$19), 0, $E$8 * $G$8^((A35-$F$8)/12)))</f>
        <v>0</v>
      </c>
      <c r="I35" s="1" t="n">
        <f aca="false">IF(A35&lt;$F$9, 0, IF(AND($B$21=1, A35&gt;$B$19), 0, $E$9 * $G$9^((A35-$F$9)/12)))</f>
        <v>0</v>
      </c>
      <c r="J35" s="1" t="n">
        <f aca="false">IF(A35&lt;$F$10, 0, IF(AND($B$21=1, A35&gt;$B$19), 0, $E$10 * $G$10^((A35-$F$10)/12)))</f>
        <v>0</v>
      </c>
      <c r="K35" s="1" t="n">
        <f aca="false">IF(A35&lt;$F$11, 0, IF(AND($B$21=1, A35&gt;$B$19), 0, $E$11 * $G$11^((A35-$F$11)/12)))</f>
        <v>0</v>
      </c>
      <c r="L35" s="1" t="n">
        <f aca="false">IF(A35&lt;$F$12, 0, IF(AND($B$21=1, A35&gt;$B$19), 0, $E$12 * $G$12^((A35-$F$12)/12)))</f>
        <v>0</v>
      </c>
      <c r="M35" s="1" t="n">
        <f aca="false">IF(A35&lt;$F$13, 0, IF(AND($B$21=1, A35&gt;$B$19), 0, $E$13 * $G$13^((A35-$F$13)/12)))</f>
        <v>0</v>
      </c>
      <c r="N35" s="1" t="n">
        <f aca="false">IF(A35&lt;$F$14, 0, IF(AND($B$21=1, A35&gt;$B$19), 0, $E$14 * $G$14^((A35-$F$14)/12)))</f>
        <v>0</v>
      </c>
      <c r="O35" s="1" t="n">
        <f aca="false">SUM(F35:N35)</f>
        <v>24.893367030561</v>
      </c>
      <c r="P35" s="1" t="n">
        <f aca="false">O35/12</f>
        <v>2.07444725254675</v>
      </c>
      <c r="Q35" s="1" t="n">
        <f aca="false">P35*$B$8</f>
        <v>0.207444725254675</v>
      </c>
      <c r="R35" s="1" t="n">
        <f aca="false">P35*$B$9</f>
        <v>0.103722362627337</v>
      </c>
      <c r="S35" s="1" t="n">
        <f aca="false">P35*$B$10</f>
        <v>0.124466835152805</v>
      </c>
      <c r="T35" s="1" t="n">
        <f aca="false">P35-Q35-R35-S35-D35-E35</f>
        <v>0.370707504511931</v>
      </c>
      <c r="U35" s="1" t="n">
        <f aca="false">MAX(0, T35 - $B$7*P35)</f>
        <v>0</v>
      </c>
      <c r="V35" s="1" t="n">
        <f aca="false">T35-U35</f>
        <v>0.370707504511931</v>
      </c>
      <c r="W35" s="1" t="n">
        <f aca="false"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>0</v>
      </c>
      <c r="X35" s="1" t="n">
        <f aca="false">V35-W35-C35</f>
        <v>0.120707504511931</v>
      </c>
      <c r="Y35" s="1" t="n">
        <f aca="false">IF(AND(A35&lt;=$F$10, X35&gt;0), X35*$B$23, 0)</f>
        <v>0.0603537522559657</v>
      </c>
      <c r="Z35" s="1" t="n">
        <f aca="false">X35-Y35+IF(A35=$F$10+1, MAX(0, SUM(INDEX(Y:Y,31):INDEX(Y:Y,30+$F$10)) - ('1. Press Assumptions'!$D$93*'1. Press Assumptions'!$E$93 - '1. Press Assumptions'!$D$93*0.1154*0.5)), 0)</f>
        <v>0.0603537522559657</v>
      </c>
      <c r="AA35" s="1" t="n">
        <f aca="false">IF(AND(A35=$B$19, $B$21=1), O35*$B$20, 0)</f>
        <v>0</v>
      </c>
      <c r="AB35" s="1" t="n">
        <f aca="false">AB34+Z35+AA35</f>
        <v>-4.06290288107737</v>
      </c>
    </row>
    <row r="36" customFormat="false" ht="15" hidden="false" customHeight="true" outlineLevel="0" collapsed="false">
      <c r="A36" s="1" t="n">
        <v>6</v>
      </c>
      <c r="B36" s="1" t="n">
        <f aca="false">CEILING(A36/12,1)</f>
        <v>1</v>
      </c>
      <c r="C36" s="1" t="n">
        <f aca="false">IF(A36&lt;=18, $B$15/12, 0)</f>
        <v>0.25</v>
      </c>
      <c r="D36" s="1" t="n">
        <f aca="false">INDEX('26. Team Comp'!$D$28:$R$28, B36) * 0.001 / 12</f>
        <v>0.288105825</v>
      </c>
      <c r="E36" s="1" t="n">
        <f aca="false"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>0.793333333333333</v>
      </c>
      <c r="F36" s="1" t="n">
        <f aca="false">IF(A36&lt;$F$6, 0, IF(AND($B$21=1, A36&gt;$B$19), 0, $E$6 * $G$6^((A36-$F$6)/12)))</f>
        <v>24.7871888847288</v>
      </c>
      <c r="G36" s="1" t="n">
        <f aca="false">IF(A36&lt;$F$7, 0, IF(AND($B$21=1, A36&gt;$B$19), 0, $E$7 * $G$7^((A36-$F$7)/12)))</f>
        <v>0</v>
      </c>
      <c r="H36" s="1" t="n">
        <f aca="false">IF(A36&lt;$F$8, 0, IF(AND($B$21=1, A36&gt;$B$19), 0, $E$8 * $G$8^((A36-$F$8)/12)))</f>
        <v>0</v>
      </c>
      <c r="I36" s="1" t="n">
        <f aca="false">IF(A36&lt;$F$9, 0, IF(AND($B$21=1, A36&gt;$B$19), 0, $E$9 * $G$9^((A36-$F$9)/12)))</f>
        <v>0</v>
      </c>
      <c r="J36" s="1" t="n">
        <f aca="false">IF(A36&lt;$F$10, 0, IF(AND($B$21=1, A36&gt;$B$19), 0, $E$10 * $G$10^((A36-$F$10)/12)))</f>
        <v>0</v>
      </c>
      <c r="K36" s="1" t="n">
        <f aca="false">IF(A36&lt;$F$11, 0, IF(AND($B$21=1, A36&gt;$B$19), 0, $E$11 * $G$11^((A36-$F$11)/12)))</f>
        <v>0</v>
      </c>
      <c r="L36" s="1" t="n">
        <f aca="false">IF(A36&lt;$F$12, 0, IF(AND($B$21=1, A36&gt;$B$19), 0, $E$12 * $G$12^((A36-$F$12)/12)))</f>
        <v>0</v>
      </c>
      <c r="M36" s="1" t="n">
        <f aca="false">IF(A36&lt;$F$13, 0, IF(AND($B$21=1, A36&gt;$B$19), 0, $E$13 * $G$13^((A36-$F$13)/12)))</f>
        <v>0</v>
      </c>
      <c r="N36" s="1" t="n">
        <f aca="false">IF(A36&lt;$F$14, 0, IF(AND($B$21=1, A36&gt;$B$19), 0, $E$14 * $G$14^((A36-$F$14)/12)))</f>
        <v>0</v>
      </c>
      <c r="O36" s="1" t="n">
        <f aca="false">SUM(F36:N36)</f>
        <v>24.7871888847288</v>
      </c>
      <c r="P36" s="1" t="n">
        <f aca="false">O36/12</f>
        <v>2.0655990737274</v>
      </c>
      <c r="Q36" s="1" t="n">
        <f aca="false">P36*$B$8</f>
        <v>0.20655990737274</v>
      </c>
      <c r="R36" s="1" t="n">
        <f aca="false">P36*$B$9</f>
        <v>0.10327995368637</v>
      </c>
      <c r="S36" s="1" t="n">
        <f aca="false">P36*$B$10</f>
        <v>0.123935944423644</v>
      </c>
      <c r="T36" s="1" t="n">
        <f aca="false">P36-Q36-R36-S36-D36-E36</f>
        <v>0.550384109911314</v>
      </c>
      <c r="U36" s="1" t="n">
        <f aca="false">MAX(0, T36 - $B$7*P36)</f>
        <v>0</v>
      </c>
      <c r="V36" s="1" t="n">
        <f aca="false">T36-U36</f>
        <v>0.550384109911314</v>
      </c>
      <c r="W36" s="1" t="n">
        <f aca="false"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>0</v>
      </c>
      <c r="X36" s="1" t="n">
        <f aca="false">V36-W36-C36</f>
        <v>0.300384109911314</v>
      </c>
      <c r="Y36" s="1" t="n">
        <f aca="false">IF(AND(A36&lt;=$F$10, X36&gt;0), X36*$B$23, 0)</f>
        <v>0.150192054955657</v>
      </c>
      <c r="Z36" s="1" t="n">
        <f aca="false">X36-Y36+IF(A36=$F$10+1, MAX(0, SUM(INDEX(Y:Y,31):INDEX(Y:Y,30+$F$10)) - ('1. Press Assumptions'!$D$93*'1. Press Assumptions'!$E$93 - '1. Press Assumptions'!$D$93*0.1154*0.5)), 0)</f>
        <v>0.150192054955657</v>
      </c>
      <c r="AA36" s="1" t="n">
        <f aca="false">IF(AND(A36=$B$19, $B$21=1), O36*$B$20, 0)</f>
        <v>0</v>
      </c>
      <c r="AB36" s="1" t="n">
        <f aca="false">AB35+Z36+AA36</f>
        <v>-3.91271082612171</v>
      </c>
    </row>
    <row r="37" customFormat="false" ht="15" hidden="false" customHeight="true" outlineLevel="0" collapsed="false">
      <c r="A37" s="1" t="n">
        <v>7</v>
      </c>
      <c r="B37" s="1" t="n">
        <f aca="false">CEILING(A37/12,1)</f>
        <v>1</v>
      </c>
      <c r="C37" s="1" t="n">
        <f aca="false">IF(A37&lt;=18, $B$15/12, 0)</f>
        <v>0.25</v>
      </c>
      <c r="D37" s="1" t="n">
        <f aca="false">INDEX('26. Team Comp'!$D$28:$R$28, B37) * 0.001 / 12</f>
        <v>0.288105825</v>
      </c>
      <c r="E37" s="1" t="n">
        <f aca="false"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>0.606666666666667</v>
      </c>
      <c r="F37" s="1" t="n">
        <f aca="false">IF(A37&lt;$F$6, 0, IF(AND($B$21=1, A37&gt;$B$19), 0, $E$6 * $G$6^((A37-$F$6)/12)))</f>
        <v>24.6814636225358</v>
      </c>
      <c r="G37" s="1" t="n">
        <f aca="false">IF(A37&lt;$F$7, 0, IF(AND($B$21=1, A37&gt;$B$19), 0, $E$7 * $G$7^((A37-$F$7)/12)))</f>
        <v>0</v>
      </c>
      <c r="H37" s="1" t="n">
        <f aca="false">IF(A37&lt;$F$8, 0, IF(AND($B$21=1, A37&gt;$B$19), 0, $E$8 * $G$8^((A37-$F$8)/12)))</f>
        <v>0</v>
      </c>
      <c r="I37" s="1" t="n">
        <f aca="false">IF(A37&lt;$F$9, 0, IF(AND($B$21=1, A37&gt;$B$19), 0, $E$9 * $G$9^((A37-$F$9)/12)))</f>
        <v>0</v>
      </c>
      <c r="J37" s="1" t="n">
        <f aca="false">IF(A37&lt;$F$10, 0, IF(AND($B$21=1, A37&gt;$B$19), 0, $E$10 * $G$10^((A37-$F$10)/12)))</f>
        <v>0</v>
      </c>
      <c r="K37" s="1" t="n">
        <f aca="false">IF(A37&lt;$F$11, 0, IF(AND($B$21=1, A37&gt;$B$19), 0, $E$11 * $G$11^((A37-$F$11)/12)))</f>
        <v>0</v>
      </c>
      <c r="L37" s="1" t="n">
        <f aca="false">IF(A37&lt;$F$12, 0, IF(AND($B$21=1, A37&gt;$B$19), 0, $E$12 * $G$12^((A37-$F$12)/12)))</f>
        <v>0</v>
      </c>
      <c r="M37" s="1" t="n">
        <f aca="false">IF(A37&lt;$F$13, 0, IF(AND($B$21=1, A37&gt;$B$19), 0, $E$13 * $G$13^((A37-$F$13)/12)))</f>
        <v>0</v>
      </c>
      <c r="N37" s="1" t="n">
        <f aca="false">IF(A37&lt;$F$14, 0, IF(AND($B$21=1, A37&gt;$B$19), 0, $E$14 * $G$14^((A37-$F$14)/12)))</f>
        <v>0</v>
      </c>
      <c r="O37" s="1" t="n">
        <f aca="false">SUM(F37:N37)</f>
        <v>24.6814636225358</v>
      </c>
      <c r="P37" s="1" t="n">
        <f aca="false">O37/12</f>
        <v>2.05678863521132</v>
      </c>
      <c r="Q37" s="1" t="n">
        <f aca="false">P37*$B$8</f>
        <v>0.205678863521132</v>
      </c>
      <c r="R37" s="1" t="n">
        <f aca="false">P37*$B$9</f>
        <v>0.102839431760566</v>
      </c>
      <c r="S37" s="1" t="n">
        <f aca="false">P37*$B$10</f>
        <v>0.123407318112679</v>
      </c>
      <c r="T37" s="1" t="n">
        <f aca="false">P37-Q37-R37-S37-D37-E37</f>
        <v>0.730090530150277</v>
      </c>
      <c r="U37" s="1" t="n">
        <f aca="false">MAX(0, T37 - $B$7*P37)</f>
        <v>0</v>
      </c>
      <c r="V37" s="1" t="n">
        <f aca="false">T37-U37</f>
        <v>0.730090530150277</v>
      </c>
      <c r="W37" s="1" t="n">
        <f aca="false"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>0</v>
      </c>
      <c r="X37" s="1" t="n">
        <f aca="false">V37-W37-C37</f>
        <v>0.480090530150277</v>
      </c>
      <c r="Y37" s="1" t="n">
        <f aca="false">IF(AND(A37&lt;=$F$10, X37&gt;0), X37*$B$23, 0)</f>
        <v>0.240045265075138</v>
      </c>
      <c r="Z37" s="1" t="n">
        <f aca="false">X37-Y37+IF(A37=$F$10+1, MAX(0, SUM(INDEX(Y:Y,31):INDEX(Y:Y,30+$F$10)) - ('1. Press Assumptions'!$D$93*'1. Press Assumptions'!$E$93 - '1. Press Assumptions'!$D$93*0.1154*0.5)), 0)</f>
        <v>0.240045265075138</v>
      </c>
      <c r="AA37" s="1" t="n">
        <f aca="false">IF(AND(A37=$B$19, $B$21=1), O37*$B$20, 0)</f>
        <v>0</v>
      </c>
      <c r="AB37" s="1" t="n">
        <f aca="false">AB36+Z37+AA37</f>
        <v>-3.67266556104657</v>
      </c>
    </row>
    <row r="38" customFormat="false" ht="15" hidden="false" customHeight="true" outlineLevel="0" collapsed="false">
      <c r="A38" s="1" t="n">
        <v>8</v>
      </c>
      <c r="B38" s="1" t="n">
        <f aca="false">CEILING(A38/12,1)</f>
        <v>1</v>
      </c>
      <c r="C38" s="1" t="n">
        <f aca="false">IF(A38&lt;=18, $B$15/12, 0)</f>
        <v>0.25</v>
      </c>
      <c r="D38" s="1" t="n">
        <f aca="false">INDEX('26. Team Comp'!$D$28:$R$28, B38) * 0.001 / 12</f>
        <v>0.288105825</v>
      </c>
      <c r="E38" s="1" t="n">
        <f aca="false"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>1.58666666666667</v>
      </c>
      <c r="F38" s="1" t="n">
        <f aca="false">IF(A38&lt;$F$6, 0, IF(AND($B$21=1, A38&gt;$B$19), 0, $E$6 * $G$6^((A38-$F$6)/12)))</f>
        <v>24.576189312289</v>
      </c>
      <c r="G38" s="1" t="n">
        <f aca="false">IF(A38&lt;$F$7, 0, IF(AND($B$21=1, A38&gt;$B$19), 0, $E$7 * $G$7^((A38-$F$7)/12)))</f>
        <v>25</v>
      </c>
      <c r="H38" s="1" t="n">
        <f aca="false">IF(A38&lt;$F$8, 0, IF(AND($B$21=1, A38&gt;$B$19), 0, $E$8 * $G$8^((A38-$F$8)/12)))</f>
        <v>0</v>
      </c>
      <c r="I38" s="1" t="n">
        <f aca="false">IF(A38&lt;$F$9, 0, IF(AND($B$21=1, A38&gt;$B$19), 0, $E$9 * $G$9^((A38-$F$9)/12)))</f>
        <v>0</v>
      </c>
      <c r="J38" s="1" t="n">
        <f aca="false">IF(A38&lt;$F$10, 0, IF(AND($B$21=1, A38&gt;$B$19), 0, $E$10 * $G$10^((A38-$F$10)/12)))</f>
        <v>0</v>
      </c>
      <c r="K38" s="1" t="n">
        <f aca="false">IF(A38&lt;$F$11, 0, IF(AND($B$21=1, A38&gt;$B$19), 0, $E$11 * $G$11^((A38-$F$11)/12)))</f>
        <v>0</v>
      </c>
      <c r="L38" s="1" t="n">
        <f aca="false">IF(A38&lt;$F$12, 0, IF(AND($B$21=1, A38&gt;$B$19), 0, $E$12 * $G$12^((A38-$F$12)/12)))</f>
        <v>0</v>
      </c>
      <c r="M38" s="1" t="n">
        <f aca="false">IF(A38&lt;$F$13, 0, IF(AND($B$21=1, A38&gt;$B$19), 0, $E$13 * $G$13^((A38-$F$13)/12)))</f>
        <v>0</v>
      </c>
      <c r="N38" s="1" t="n">
        <f aca="false">IF(A38&lt;$F$14, 0, IF(AND($B$21=1, A38&gt;$B$19), 0, $E$14 * $G$14^((A38-$F$14)/12)))</f>
        <v>0</v>
      </c>
      <c r="O38" s="1" t="n">
        <f aca="false">SUM(F38:N38)</f>
        <v>49.576189312289</v>
      </c>
      <c r="P38" s="1" t="n">
        <f aca="false">O38/12</f>
        <v>4.13134910935741</v>
      </c>
      <c r="Q38" s="1" t="n">
        <f aca="false">P38*$B$8</f>
        <v>0.413134910935741</v>
      </c>
      <c r="R38" s="1" t="n">
        <f aca="false">P38*$B$9</f>
        <v>0.206567455467871</v>
      </c>
      <c r="S38" s="1" t="n">
        <f aca="false">P38*$B$10</f>
        <v>0.247880946561445</v>
      </c>
      <c r="T38" s="1" t="n">
        <f aca="false">P38-Q38-R38-S38-D38-E38</f>
        <v>1.38899330472569</v>
      </c>
      <c r="U38" s="1" t="n">
        <f aca="false">MAX(0, T38 - $B$7*P38)</f>
        <v>0</v>
      </c>
      <c r="V38" s="1" t="n">
        <f aca="false">T38-U38</f>
        <v>1.38899330472569</v>
      </c>
      <c r="W38" s="1" t="n">
        <f aca="false"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>2.45</v>
      </c>
      <c r="X38" s="1" t="n">
        <f aca="false">V38-W38-C38</f>
        <v>-1.31100669527431</v>
      </c>
      <c r="Y38" s="1" t="n">
        <f aca="false">IF(AND(A38&lt;=$F$10, X38&gt;0), X38*$B$23, 0)</f>
        <v>0</v>
      </c>
      <c r="Z38" s="1" t="n">
        <f aca="false">X38-Y38+IF(A38=$F$10+1, MAX(0, SUM(INDEX(Y:Y,31):INDEX(Y:Y,30+$F$10)) - ('1. Press Assumptions'!$D$93*'1. Press Assumptions'!$E$93 - '1. Press Assumptions'!$D$93*0.1154*0.5)), 0)</f>
        <v>-1.31100669527431</v>
      </c>
      <c r="AA38" s="1" t="n">
        <f aca="false">IF(AND(A38=$B$19, $B$21=1), O38*$B$20, 0)</f>
        <v>0</v>
      </c>
      <c r="AB38" s="1" t="n">
        <f aca="false">AB37+Z38+AA38</f>
        <v>-4.98367225632088</v>
      </c>
    </row>
    <row r="39" customFormat="false" ht="15" hidden="false" customHeight="true" outlineLevel="0" collapsed="false">
      <c r="A39" s="1" t="n">
        <v>9</v>
      </c>
      <c r="B39" s="1" t="n">
        <f aca="false">CEILING(A39/12,1)</f>
        <v>1</v>
      </c>
      <c r="C39" s="1" t="n">
        <f aca="false">IF(A39&lt;=18, $B$15/12, 0)</f>
        <v>0.25</v>
      </c>
      <c r="D39" s="1" t="n">
        <f aca="false">INDEX('26. Team Comp'!$D$28:$R$28, B39) * 0.001 / 12</f>
        <v>0.288105825</v>
      </c>
      <c r="E39" s="1" t="n">
        <f aca="false"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>1.21333333333333</v>
      </c>
      <c r="F39" s="1" t="n">
        <f aca="false">IF(A39&lt;$F$6, 0, IF(AND($B$21=1, A39&gt;$B$19), 0, $E$6 * $G$6^((A39-$F$6)/12)))</f>
        <v>24.4713640305344</v>
      </c>
      <c r="G39" s="1" t="n">
        <f aca="false">IF(A39&lt;$F$7, 0, IF(AND($B$21=1, A39&gt;$B$19), 0, $E$7 * $G$7^((A39-$F$7)/12)))</f>
        <v>24.7814597261326</v>
      </c>
      <c r="H39" s="1" t="n">
        <f aca="false">IF(A39&lt;$F$8, 0, IF(AND($B$21=1, A39&gt;$B$19), 0, $E$8 * $G$8^((A39-$F$8)/12)))</f>
        <v>0</v>
      </c>
      <c r="I39" s="1" t="n">
        <f aca="false">IF(A39&lt;$F$9, 0, IF(AND($B$21=1, A39&gt;$B$19), 0, $E$9 * $G$9^((A39-$F$9)/12)))</f>
        <v>0</v>
      </c>
      <c r="J39" s="1" t="n">
        <f aca="false">IF(A39&lt;$F$10, 0, IF(AND($B$21=1, A39&gt;$B$19), 0, $E$10 * $G$10^((A39-$F$10)/12)))</f>
        <v>0</v>
      </c>
      <c r="K39" s="1" t="n">
        <f aca="false">IF(A39&lt;$F$11, 0, IF(AND($B$21=1, A39&gt;$B$19), 0, $E$11 * $G$11^((A39-$F$11)/12)))</f>
        <v>0</v>
      </c>
      <c r="L39" s="1" t="n">
        <f aca="false">IF(A39&lt;$F$12, 0, IF(AND($B$21=1, A39&gt;$B$19), 0, $E$12 * $G$12^((A39-$F$12)/12)))</f>
        <v>0</v>
      </c>
      <c r="M39" s="1" t="n">
        <f aca="false">IF(A39&lt;$F$13, 0, IF(AND($B$21=1, A39&gt;$B$19), 0, $E$13 * $G$13^((A39-$F$13)/12)))</f>
        <v>0</v>
      </c>
      <c r="N39" s="1" t="n">
        <f aca="false">IF(A39&lt;$F$14, 0, IF(AND($B$21=1, A39&gt;$B$19), 0, $E$14 * $G$14^((A39-$F$14)/12)))</f>
        <v>0</v>
      </c>
      <c r="O39" s="1" t="n">
        <f aca="false">SUM(F39:N39)</f>
        <v>49.252823756667</v>
      </c>
      <c r="P39" s="1" t="n">
        <f aca="false">O39/12</f>
        <v>4.10440197972225</v>
      </c>
      <c r="Q39" s="1" t="n">
        <f aca="false">P39*$B$8</f>
        <v>0.410440197972225</v>
      </c>
      <c r="R39" s="1" t="n">
        <f aca="false">P39*$B$9</f>
        <v>0.205220098986112</v>
      </c>
      <c r="S39" s="1" t="n">
        <f aca="false">P39*$B$10</f>
        <v>0.246264118783335</v>
      </c>
      <c r="T39" s="1" t="n">
        <f aca="false">P39-Q39-R39-S39-D39-E39</f>
        <v>1.74103840564724</v>
      </c>
      <c r="U39" s="1" t="n">
        <f aca="false">MAX(0, T39 - $B$7*P39)</f>
        <v>0</v>
      </c>
      <c r="V39" s="1" t="n">
        <f aca="false">T39-U39</f>
        <v>1.74103840564724</v>
      </c>
      <c r="W39" s="1" t="n">
        <f aca="false"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>0</v>
      </c>
      <c r="X39" s="1" t="n">
        <f aca="false">V39-W39-C39</f>
        <v>1.49103840564724</v>
      </c>
      <c r="Y39" s="1" t="n">
        <f aca="false">IF(AND(A39&lt;=$F$10, X39&gt;0), X39*$B$23, 0)</f>
        <v>0.745519202823621</v>
      </c>
      <c r="Z39" s="1" t="n">
        <f aca="false">X39-Y39+IF(A39=$F$10+1, MAX(0, SUM(INDEX(Y:Y,31):INDEX(Y:Y,30+$F$10)) - ('1. Press Assumptions'!$D$93*'1. Press Assumptions'!$E$93 - '1. Press Assumptions'!$D$93*0.1154*0.5)), 0)</f>
        <v>0.745519202823621</v>
      </c>
      <c r="AA39" s="1" t="n">
        <f aca="false">IF(AND(A39=$B$19, $B$21=1), O39*$B$20, 0)</f>
        <v>0</v>
      </c>
      <c r="AB39" s="1" t="n">
        <f aca="false">AB38+Z39+AA39</f>
        <v>-4.23815305349726</v>
      </c>
    </row>
    <row r="40" customFormat="false" ht="15" hidden="false" customHeight="true" outlineLevel="0" collapsed="false">
      <c r="A40" s="1" t="n">
        <v>10</v>
      </c>
      <c r="B40" s="1" t="n">
        <f aca="false">CEILING(A40/12,1)</f>
        <v>1</v>
      </c>
      <c r="C40" s="1" t="n">
        <f aca="false">IF(A40&lt;=18, $B$15/12, 0)</f>
        <v>0.25</v>
      </c>
      <c r="D40" s="1" t="n">
        <f aca="false">INDEX('26. Team Comp'!$D$28:$R$28, B40) * 0.001 / 12</f>
        <v>0.288105825</v>
      </c>
      <c r="E40" s="1" t="n">
        <f aca="false"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>1.0137037037037</v>
      </c>
      <c r="F40" s="1" t="n">
        <f aca="false">IF(A40&lt;$F$6, 0, IF(AND($B$21=1, A40&gt;$B$19), 0, $E$6 * $G$6^((A40-$F$6)/12)))</f>
        <v>24.3669858620224</v>
      </c>
      <c r="G40" s="1" t="n">
        <f aca="false">IF(A40&lt;$F$7, 0, IF(AND($B$21=1, A40&gt;$B$19), 0, $E$7 * $G$7^((A40-$F$7)/12)))</f>
        <v>24.5648298463172</v>
      </c>
      <c r="H40" s="1" t="n">
        <f aca="false">IF(A40&lt;$F$8, 0, IF(AND($B$21=1, A40&gt;$B$19), 0, $E$8 * $G$8^((A40-$F$8)/12)))</f>
        <v>0</v>
      </c>
      <c r="I40" s="1" t="n">
        <f aca="false">IF(A40&lt;$F$9, 0, IF(AND($B$21=1, A40&gt;$B$19), 0, $E$9 * $G$9^((A40-$F$9)/12)))</f>
        <v>0</v>
      </c>
      <c r="J40" s="1" t="n">
        <f aca="false">IF(A40&lt;$F$10, 0, IF(AND($B$21=1, A40&gt;$B$19), 0, $E$10 * $G$10^((A40-$F$10)/12)))</f>
        <v>0</v>
      </c>
      <c r="K40" s="1" t="n">
        <f aca="false">IF(A40&lt;$F$11, 0, IF(AND($B$21=1, A40&gt;$B$19), 0, $E$11 * $G$11^((A40-$F$11)/12)))</f>
        <v>0</v>
      </c>
      <c r="L40" s="1" t="n">
        <f aca="false">IF(A40&lt;$F$12, 0, IF(AND($B$21=1, A40&gt;$B$19), 0, $E$12 * $G$12^((A40-$F$12)/12)))</f>
        <v>0</v>
      </c>
      <c r="M40" s="1" t="n">
        <f aca="false">IF(A40&lt;$F$13, 0, IF(AND($B$21=1, A40&gt;$B$19), 0, $E$13 * $G$13^((A40-$F$13)/12)))</f>
        <v>0</v>
      </c>
      <c r="N40" s="1" t="n">
        <f aca="false">IF(A40&lt;$F$14, 0, IF(AND($B$21=1, A40&gt;$B$19), 0, $E$14 * $G$14^((A40-$F$14)/12)))</f>
        <v>0</v>
      </c>
      <c r="O40" s="1" t="n">
        <f aca="false">SUM(F40:N40)</f>
        <v>48.9318157083397</v>
      </c>
      <c r="P40" s="1" t="n">
        <f aca="false">O40/12</f>
        <v>4.07765130902831</v>
      </c>
      <c r="Q40" s="1" t="n">
        <f aca="false">P40*$B$8</f>
        <v>0.407765130902831</v>
      </c>
      <c r="R40" s="1" t="n">
        <f aca="false">P40*$B$9</f>
        <v>0.203882565451415</v>
      </c>
      <c r="S40" s="1" t="n">
        <f aca="false">P40*$B$10</f>
        <v>0.244659078541698</v>
      </c>
      <c r="T40" s="1" t="n">
        <f aca="false">P40-Q40-R40-S40-D40-E40</f>
        <v>1.91953500542866</v>
      </c>
      <c r="U40" s="1" t="n">
        <f aca="false">MAX(0, T40 - $B$7*P40)</f>
        <v>0</v>
      </c>
      <c r="V40" s="1" t="n">
        <f aca="false">T40-U40</f>
        <v>1.91953500542866</v>
      </c>
      <c r="W40" s="1" t="n">
        <f aca="false"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>0</v>
      </c>
      <c r="X40" s="1" t="n">
        <f aca="false">V40-W40-C40</f>
        <v>1.66953500542866</v>
      </c>
      <c r="Y40" s="1" t="n">
        <f aca="false">IF(AND(A40&lt;=$F$10, X40&gt;0), X40*$B$23, 0)</f>
        <v>0.834767502714328</v>
      </c>
      <c r="Z40" s="1" t="n">
        <f aca="false">X40-Y40+IF(A40=$F$10+1, MAX(0, SUM(INDEX(Y:Y,31):INDEX(Y:Y,30+$F$10)) - ('1. Press Assumptions'!$D$93*'1. Press Assumptions'!$E$93 - '1. Press Assumptions'!$D$93*0.1154*0.5)), 0)</f>
        <v>0.834767502714328</v>
      </c>
      <c r="AA40" s="1" t="n">
        <f aca="false">IF(AND(A40=$B$19, $B$21=1), O40*$B$20, 0)</f>
        <v>0</v>
      </c>
      <c r="AB40" s="1" t="n">
        <f aca="false">AB39+Z40+AA40</f>
        <v>-3.40338555078293</v>
      </c>
    </row>
    <row r="41" customFormat="false" ht="15" hidden="false" customHeight="true" outlineLevel="0" collapsed="false">
      <c r="A41" s="1" t="n">
        <v>11</v>
      </c>
      <c r="B41" s="1" t="n">
        <f aca="false">CEILING(A41/12,1)</f>
        <v>1</v>
      </c>
      <c r="C41" s="1" t="n">
        <f aca="false">IF(A41&lt;=18, $B$15/12, 0)</f>
        <v>0.25</v>
      </c>
      <c r="D41" s="1" t="n">
        <f aca="false">INDEX('26. Team Comp'!$D$28:$R$28, B41) * 0.001 / 12</f>
        <v>0.288105825</v>
      </c>
      <c r="E41" s="1" t="n">
        <f aca="false"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>0.814074074074074</v>
      </c>
      <c r="F41" s="1" t="n">
        <f aca="false">IF(A41&lt;$F$6, 0, IF(AND($B$21=1, A41&gt;$B$19), 0, $E$6 * $G$6^((A41-$F$6)/12)))</f>
        <v>24.2630528996726</v>
      </c>
      <c r="G41" s="1" t="n">
        <f aca="false">IF(A41&lt;$F$7, 0, IF(AND($B$21=1, A41&gt;$B$19), 0, $E$7 * $G$7^((A41-$F$7)/12)))</f>
        <v>24.3500936606324</v>
      </c>
      <c r="H41" s="1" t="n">
        <f aca="false">IF(A41&lt;$F$8, 0, IF(AND($B$21=1, A41&gt;$B$19), 0, $E$8 * $G$8^((A41-$F$8)/12)))</f>
        <v>0</v>
      </c>
      <c r="I41" s="1" t="n">
        <f aca="false">IF(A41&lt;$F$9, 0, IF(AND($B$21=1, A41&gt;$B$19), 0, $E$9 * $G$9^((A41-$F$9)/12)))</f>
        <v>0</v>
      </c>
      <c r="J41" s="1" t="n">
        <f aca="false">IF(A41&lt;$F$10, 0, IF(AND($B$21=1, A41&gt;$B$19), 0, $E$10 * $G$10^((A41-$F$10)/12)))</f>
        <v>0</v>
      </c>
      <c r="K41" s="1" t="n">
        <f aca="false">IF(A41&lt;$F$11, 0, IF(AND($B$21=1, A41&gt;$B$19), 0, $E$11 * $G$11^((A41-$F$11)/12)))</f>
        <v>0</v>
      </c>
      <c r="L41" s="1" t="n">
        <f aca="false">IF(A41&lt;$F$12, 0, IF(AND($B$21=1, A41&gt;$B$19), 0, $E$12 * $G$12^((A41-$F$12)/12)))</f>
        <v>0</v>
      </c>
      <c r="M41" s="1" t="n">
        <f aca="false">IF(A41&lt;$F$13, 0, IF(AND($B$21=1, A41&gt;$B$19), 0, $E$13 * $G$13^((A41-$F$13)/12)))</f>
        <v>0</v>
      </c>
      <c r="N41" s="1" t="n">
        <f aca="false">IF(A41&lt;$F$14, 0, IF(AND($B$21=1, A41&gt;$B$19), 0, $E$14 * $G$14^((A41-$F$14)/12)))</f>
        <v>0</v>
      </c>
      <c r="O41" s="1" t="n">
        <f aca="false">SUM(F41:N41)</f>
        <v>48.613146560305</v>
      </c>
      <c r="P41" s="1" t="n">
        <f aca="false">O41/12</f>
        <v>4.05109554669208</v>
      </c>
      <c r="Q41" s="1" t="n">
        <f aca="false">P41*$B$8</f>
        <v>0.405109554669208</v>
      </c>
      <c r="R41" s="1" t="n">
        <f aca="false">P41*$B$9</f>
        <v>0.202554777334604</v>
      </c>
      <c r="S41" s="1" t="n">
        <f aca="false">P41*$B$10</f>
        <v>0.243065732801525</v>
      </c>
      <c r="T41" s="1" t="n">
        <f aca="false">P41-Q41-R41-S41-D41-E41</f>
        <v>2.09818558281267</v>
      </c>
      <c r="U41" s="1" t="n">
        <f aca="false">MAX(0, T41 - $B$7*P41)</f>
        <v>0</v>
      </c>
      <c r="V41" s="1" t="n">
        <f aca="false">T41-U41</f>
        <v>2.09818558281267</v>
      </c>
      <c r="W41" s="1" t="n">
        <f aca="false"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>0</v>
      </c>
      <c r="X41" s="1" t="n">
        <f aca="false">V41-W41-C41</f>
        <v>1.84818558281267</v>
      </c>
      <c r="Y41" s="1" t="n">
        <f aca="false">IF(AND(A41&lt;=$F$10, X41&gt;0), X41*$B$23, 0)</f>
        <v>0.924092791406335</v>
      </c>
      <c r="Z41" s="1" t="n">
        <f aca="false">X41-Y41+IF(A41=$F$10+1, MAX(0, SUM(INDEX(Y:Y,31):INDEX(Y:Y,30+$F$10)) - ('1. Press Assumptions'!$D$93*'1. Press Assumptions'!$E$93 - '1. Press Assumptions'!$D$93*0.1154*0.5)), 0)</f>
        <v>0.924092791406335</v>
      </c>
      <c r="AA41" s="1" t="n">
        <f aca="false">IF(AND(A41=$B$19, $B$21=1), O41*$B$20, 0)</f>
        <v>0</v>
      </c>
      <c r="AB41" s="1" t="n">
        <f aca="false">AB40+Z41+AA41</f>
        <v>-2.4792927593766</v>
      </c>
    </row>
    <row r="42" customFormat="false" ht="15" hidden="false" customHeight="true" outlineLevel="0" collapsed="false">
      <c r="A42" s="1" t="n">
        <v>12</v>
      </c>
      <c r="B42" s="1" t="n">
        <f aca="false">CEILING(A42/12,1)</f>
        <v>1</v>
      </c>
      <c r="C42" s="1" t="n">
        <f aca="false">IF(A42&lt;=18, $B$15/12, 0)</f>
        <v>0.25</v>
      </c>
      <c r="D42" s="1" t="n">
        <f aca="false">INDEX('26. Team Comp'!$D$28:$R$28, B42) * 0.001 / 12</f>
        <v>0.288105825</v>
      </c>
      <c r="E42" s="1" t="n">
        <f aca="false"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>1.78111111111111</v>
      </c>
      <c r="F42" s="1" t="n">
        <f aca="false">IF(A42&lt;$F$6, 0, IF(AND($B$21=1, A42&gt;$B$19), 0, $E$6 * $G$6^((A42-$F$6)/12)))</f>
        <v>24.1595632445387</v>
      </c>
      <c r="G42" s="1" t="n">
        <f aca="false">IF(A42&lt;$F$7, 0, IF(AND($B$21=1, A42&gt;$B$19), 0, $E$7 * $G$7^((A42-$F$7)/12)))</f>
        <v>24.1372346151407</v>
      </c>
      <c r="H42" s="1" t="n">
        <f aca="false">IF(A42&lt;$F$8, 0, IF(AND($B$21=1, A42&gt;$B$19), 0, $E$8 * $G$8^((A42-$F$8)/12)))</f>
        <v>25</v>
      </c>
      <c r="I42" s="1" t="n">
        <f aca="false">IF(A42&lt;$F$9, 0, IF(AND($B$21=1, A42&gt;$B$19), 0, $E$9 * $G$9^((A42-$F$9)/12)))</f>
        <v>0</v>
      </c>
      <c r="J42" s="1" t="n">
        <f aca="false">IF(A42&lt;$F$10, 0, IF(AND($B$21=1, A42&gt;$B$19), 0, $E$10 * $G$10^((A42-$F$10)/12)))</f>
        <v>0</v>
      </c>
      <c r="K42" s="1" t="n">
        <f aca="false">IF(A42&lt;$F$11, 0, IF(AND($B$21=1, A42&gt;$B$19), 0, $E$11 * $G$11^((A42-$F$11)/12)))</f>
        <v>0</v>
      </c>
      <c r="L42" s="1" t="n">
        <f aca="false">IF(A42&lt;$F$12, 0, IF(AND($B$21=1, A42&gt;$B$19), 0, $E$12 * $G$12^((A42-$F$12)/12)))</f>
        <v>0</v>
      </c>
      <c r="M42" s="1" t="n">
        <f aca="false">IF(A42&lt;$F$13, 0, IF(AND($B$21=1, A42&gt;$B$19), 0, $E$13 * $G$13^((A42-$F$13)/12)))</f>
        <v>0</v>
      </c>
      <c r="N42" s="1" t="n">
        <f aca="false">IF(A42&lt;$F$14, 0, IF(AND($B$21=1, A42&gt;$B$19), 0, $E$14 * $G$14^((A42-$F$14)/12)))</f>
        <v>0</v>
      </c>
      <c r="O42" s="1" t="n">
        <f aca="false">SUM(F42:N42)</f>
        <v>73.2967978596794</v>
      </c>
      <c r="P42" s="1" t="n">
        <f aca="false">O42/12</f>
        <v>6.10806648830662</v>
      </c>
      <c r="Q42" s="1" t="n">
        <f aca="false">P42*$B$8</f>
        <v>0.610806648830662</v>
      </c>
      <c r="R42" s="1" t="n">
        <f aca="false">P42*$B$9</f>
        <v>0.305403324415331</v>
      </c>
      <c r="S42" s="1" t="n">
        <f aca="false">P42*$B$10</f>
        <v>0.366483989298397</v>
      </c>
      <c r="T42" s="1" t="n">
        <f aca="false">P42-Q42-R42-S42-D42-E42</f>
        <v>2.75615558965112</v>
      </c>
      <c r="U42" s="1" t="n">
        <f aca="false">MAX(0, T42 - $B$7*P42)</f>
        <v>0</v>
      </c>
      <c r="V42" s="1" t="n">
        <f aca="false">T42-U42</f>
        <v>2.75615558965112</v>
      </c>
      <c r="W42" s="1" t="n">
        <f aca="false"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>2.45</v>
      </c>
      <c r="X42" s="1" t="n">
        <f aca="false">V42-W42-C42</f>
        <v>0.056155589651115</v>
      </c>
      <c r="Y42" s="1" t="n">
        <f aca="false">IF(AND(A42&lt;=$F$10, X42&gt;0), X42*$B$23, 0)</f>
        <v>0.0280777948255575</v>
      </c>
      <c r="Z42" s="1" t="n">
        <f aca="false">X42-Y42+IF(A42=$F$10+1, MAX(0, SUM(INDEX(Y:Y,31):INDEX(Y:Y,30+$F$10)) - ('1. Press Assumptions'!$D$93*'1. Press Assumptions'!$E$93 - '1. Press Assumptions'!$D$93*0.1154*0.5)), 0)</f>
        <v>0.0280777948255575</v>
      </c>
      <c r="AA42" s="1" t="n">
        <f aca="false">IF(AND(A42=$B$19, $B$21=1), O42*$B$20, 0)</f>
        <v>0</v>
      </c>
      <c r="AB42" s="1" t="n">
        <f aca="false">AB41+Z42+AA42</f>
        <v>-2.45121496455104</v>
      </c>
    </row>
    <row r="43" customFormat="false" ht="15" hidden="false" customHeight="true" outlineLevel="0" collapsed="false">
      <c r="A43" s="1" t="n">
        <v>13</v>
      </c>
      <c r="B43" s="1" t="n">
        <f aca="false">CEILING(A43/12,1)</f>
        <v>2</v>
      </c>
      <c r="C43" s="1" t="n">
        <f aca="false">IF(A43&lt;=18, $B$15/12, 0)</f>
        <v>0.25</v>
      </c>
      <c r="D43" s="1" t="n">
        <f aca="false">INDEX('26. Team Comp'!$D$28:$R$28, B43) * 0.001 / 12</f>
        <v>0.633043658333333</v>
      </c>
      <c r="E43" s="1" t="n">
        <f aca="false"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>1.39481481481481</v>
      </c>
      <c r="F43" s="1" t="n">
        <f aca="false">IF(A43&lt;$F$6, 0, IF(AND($B$21=1, A43&gt;$B$19), 0, $E$6 * $G$6^((A43-$F$6)/12)))</f>
        <v>24.0565150057741</v>
      </c>
      <c r="G43" s="1" t="n">
        <f aca="false">IF(A43&lt;$F$7, 0, IF(AND($B$21=1, A43&gt;$B$19), 0, $E$7 * $G$7^((A43-$F$7)/12)))</f>
        <v>23.9262363006129</v>
      </c>
      <c r="H43" s="1" t="n">
        <f aca="false">IF(A43&lt;$F$8, 0, IF(AND($B$21=1, A43&gt;$B$19), 0, $E$8 * $G$8^((A43-$F$8)/12)))</f>
        <v>24.6637013247033</v>
      </c>
      <c r="I43" s="1" t="n">
        <f aca="false">IF(A43&lt;$F$9, 0, IF(AND($B$21=1, A43&gt;$B$19), 0, $E$9 * $G$9^((A43-$F$9)/12)))</f>
        <v>0</v>
      </c>
      <c r="J43" s="1" t="n">
        <f aca="false">IF(A43&lt;$F$10, 0, IF(AND($B$21=1, A43&gt;$B$19), 0, $E$10 * $G$10^((A43-$F$10)/12)))</f>
        <v>0</v>
      </c>
      <c r="K43" s="1" t="n">
        <f aca="false">IF(A43&lt;$F$11, 0, IF(AND($B$21=1, A43&gt;$B$19), 0, $E$11 * $G$11^((A43-$F$11)/12)))</f>
        <v>0</v>
      </c>
      <c r="L43" s="1" t="n">
        <f aca="false">IF(A43&lt;$F$12, 0, IF(AND($B$21=1, A43&gt;$B$19), 0, $E$12 * $G$12^((A43-$F$12)/12)))</f>
        <v>0</v>
      </c>
      <c r="M43" s="1" t="n">
        <f aca="false">IF(A43&lt;$F$13, 0, IF(AND($B$21=1, A43&gt;$B$19), 0, $E$13 * $G$13^((A43-$F$13)/12)))</f>
        <v>0</v>
      </c>
      <c r="N43" s="1" t="n">
        <f aca="false">IF(A43&lt;$F$14, 0, IF(AND($B$21=1, A43&gt;$B$19), 0, $E$14 * $G$14^((A43-$F$14)/12)))</f>
        <v>0</v>
      </c>
      <c r="O43" s="1" t="n">
        <f aca="false">SUM(F43:N43)</f>
        <v>72.6464526310903</v>
      </c>
      <c r="P43" s="1" t="n">
        <f aca="false">O43/12</f>
        <v>6.05387105259086</v>
      </c>
      <c r="Q43" s="1" t="n">
        <f aca="false">P43*$B$8</f>
        <v>0.605387105259086</v>
      </c>
      <c r="R43" s="1" t="n">
        <f aca="false">P43*$B$9</f>
        <v>0.302693552629543</v>
      </c>
      <c r="S43" s="1" t="n">
        <f aca="false">P43*$B$10</f>
        <v>0.363232263155451</v>
      </c>
      <c r="T43" s="1" t="n">
        <f aca="false">P43-Q43-R43-S43-D43-E43</f>
        <v>2.75469965839863</v>
      </c>
      <c r="U43" s="1" t="n">
        <f aca="false">MAX(0, T43 - $B$7*P43)</f>
        <v>0</v>
      </c>
      <c r="V43" s="1" t="n">
        <f aca="false">T43-U43</f>
        <v>2.75469965839863</v>
      </c>
      <c r="W43" s="1" t="n">
        <f aca="false"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>0</v>
      </c>
      <c r="X43" s="1" t="n">
        <f aca="false">V43-W43-C43</f>
        <v>2.50469965839863</v>
      </c>
      <c r="Y43" s="1" t="n">
        <f aca="false">IF(AND(A43&lt;=$F$10, X43&gt;0), X43*$B$23, 0)</f>
        <v>1.25234982919931</v>
      </c>
      <c r="Z43" s="1" t="n">
        <f aca="false">X43-Y43+IF(A43=$F$10+1, MAX(0, SUM(INDEX(Y:Y,31):INDEX(Y:Y,30+$F$10)) - ('1. Press Assumptions'!$D$93*'1. Press Assumptions'!$E$93 - '1. Press Assumptions'!$D$93*0.1154*0.5)), 0)</f>
        <v>1.25234982919931</v>
      </c>
      <c r="AA43" s="1" t="n">
        <f aca="false">IF(AND(A43=$B$19, $B$21=1), O43*$B$20, 0)</f>
        <v>0</v>
      </c>
      <c r="AB43" s="1" t="n">
        <f aca="false">AB42+Z43+AA43</f>
        <v>-1.19886513535173</v>
      </c>
    </row>
    <row r="44" customFormat="false" ht="15" hidden="false" customHeight="true" outlineLevel="0" collapsed="false">
      <c r="A44" s="1" t="n">
        <v>14</v>
      </c>
      <c r="B44" s="1" t="n">
        <f aca="false">CEILING(A44/12,1)</f>
        <v>2</v>
      </c>
      <c r="C44" s="1" t="n">
        <f aca="false">IF(A44&lt;=18, $B$15/12, 0)</f>
        <v>0.25</v>
      </c>
      <c r="D44" s="1" t="n">
        <f aca="false">INDEX('26. Team Comp'!$D$28:$R$28, B44) * 0.001 / 12</f>
        <v>0.633043658333333</v>
      </c>
      <c r="E44" s="1" t="n">
        <f aca="false"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>1.18222222222222</v>
      </c>
      <c r="F44" s="1" t="n">
        <f aca="false">IF(A44&lt;$F$6, 0, IF(AND($B$21=1, A44&gt;$B$19), 0, $E$6 * $G$6^((A44-$F$6)/12)))</f>
        <v>23.9539063005973</v>
      </c>
      <c r="G44" s="1" t="n">
        <f aca="false">IF(A44&lt;$F$7, 0, IF(AND($B$21=1, A44&gt;$B$19), 0, $E$7 * $G$7^((A44-$F$7)/12)))</f>
        <v>23.7170824512628</v>
      </c>
      <c r="H44" s="1" t="n">
        <f aca="false">IF(A44&lt;$F$8, 0, IF(AND($B$21=1, A44&gt;$B$19), 0, $E$8 * $G$8^((A44-$F$8)/12)))</f>
        <v>24.3319265213668</v>
      </c>
      <c r="I44" s="1" t="n">
        <f aca="false">IF(A44&lt;$F$9, 0, IF(AND($B$21=1, A44&gt;$B$19), 0, $E$9 * $G$9^((A44-$F$9)/12)))</f>
        <v>0</v>
      </c>
      <c r="J44" s="1" t="n">
        <f aca="false">IF(A44&lt;$F$10, 0, IF(AND($B$21=1, A44&gt;$B$19), 0, $E$10 * $G$10^((A44-$F$10)/12)))</f>
        <v>0</v>
      </c>
      <c r="K44" s="1" t="n">
        <f aca="false">IF(A44&lt;$F$11, 0, IF(AND($B$21=1, A44&gt;$B$19), 0, $E$11 * $G$11^((A44-$F$11)/12)))</f>
        <v>0</v>
      </c>
      <c r="L44" s="1" t="n">
        <f aca="false">IF(A44&lt;$F$12, 0, IF(AND($B$21=1, A44&gt;$B$19), 0, $E$12 * $G$12^((A44-$F$12)/12)))</f>
        <v>0</v>
      </c>
      <c r="M44" s="1" t="n">
        <f aca="false">IF(A44&lt;$F$13, 0, IF(AND($B$21=1, A44&gt;$B$19), 0, $E$13 * $G$13^((A44-$F$13)/12)))</f>
        <v>0</v>
      </c>
      <c r="N44" s="1" t="n">
        <f aca="false">IF(A44&lt;$F$14, 0, IF(AND($B$21=1, A44&gt;$B$19), 0, $E$14 * $G$14^((A44-$F$14)/12)))</f>
        <v>0</v>
      </c>
      <c r="O44" s="1" t="n">
        <f aca="false">SUM(F44:N44)</f>
        <v>72.0029152732269</v>
      </c>
      <c r="P44" s="1" t="n">
        <f aca="false">O44/12</f>
        <v>6.00024293943558</v>
      </c>
      <c r="Q44" s="1" t="n">
        <f aca="false">P44*$B$8</f>
        <v>0.600024293943558</v>
      </c>
      <c r="R44" s="1" t="n">
        <f aca="false">P44*$B$9</f>
        <v>0.300012146971779</v>
      </c>
      <c r="S44" s="1" t="n">
        <f aca="false">P44*$B$10</f>
        <v>0.360014576366135</v>
      </c>
      <c r="T44" s="1" t="n">
        <f aca="false">P44-Q44-R44-S44-D44-E44</f>
        <v>2.92492604159855</v>
      </c>
      <c r="U44" s="1" t="n">
        <f aca="false">MAX(0, T44 - $B$7*P44)</f>
        <v>0</v>
      </c>
      <c r="V44" s="1" t="n">
        <f aca="false">T44-U44</f>
        <v>2.92492604159855</v>
      </c>
      <c r="W44" s="1" t="n">
        <f aca="false"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>0</v>
      </c>
      <c r="X44" s="1" t="n">
        <f aca="false">V44-W44-C44</f>
        <v>2.67492604159855</v>
      </c>
      <c r="Y44" s="1" t="n">
        <f aca="false">IF(AND(A44&lt;=$F$10, X44&gt;0), X44*$B$23, 0)</f>
        <v>1.33746302079927</v>
      </c>
      <c r="Z44" s="1" t="n">
        <f aca="false">X44-Y44+IF(A44=$F$10+1, MAX(0, SUM(INDEX(Y:Y,31):INDEX(Y:Y,30+$F$10)) - ('1. Press Assumptions'!$D$93*'1. Press Assumptions'!$E$93 - '1. Press Assumptions'!$D$93*0.1154*0.5)), 0)</f>
        <v>1.33746302079927</v>
      </c>
      <c r="AA44" s="1" t="n">
        <f aca="false">IF(AND(A44=$B$19, $B$21=1), O44*$B$20, 0)</f>
        <v>0</v>
      </c>
      <c r="AB44" s="1" t="n">
        <f aca="false">AB43+Z44+AA44</f>
        <v>0.138597885447548</v>
      </c>
    </row>
    <row r="45" customFormat="false" ht="15" hidden="false" customHeight="true" outlineLevel="0" collapsed="false">
      <c r="A45" s="1" t="n">
        <v>15</v>
      </c>
      <c r="B45" s="1" t="n">
        <f aca="false">CEILING(A45/12,1)</f>
        <v>2</v>
      </c>
      <c r="C45" s="1" t="n">
        <f aca="false">IF(A45&lt;=18, $B$15/12, 0)</f>
        <v>0.25</v>
      </c>
      <c r="D45" s="1" t="n">
        <f aca="false">INDEX('26. Team Comp'!$D$28:$R$28, B45) * 0.001 / 12</f>
        <v>0.633043658333333</v>
      </c>
      <c r="E45" s="1" t="n">
        <f aca="false"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>0.96962962962963</v>
      </c>
      <c r="F45" s="1" t="n">
        <f aca="false">IF(A45&lt;$F$6, 0, IF(AND($B$21=1, A45&gt;$B$19), 0, $E$6 * $G$6^((A45-$F$6)/12)))</f>
        <v>23.8517352542574</v>
      </c>
      <c r="G45" s="1" t="n">
        <f aca="false">IF(A45&lt;$F$7, 0, IF(AND($B$21=1, A45&gt;$B$19), 0, $E$7 * $G$7^((A45-$F$7)/12)))</f>
        <v>23.5097569434934</v>
      </c>
      <c r="H45" s="1" t="n">
        <f aca="false">IF(A45&lt;$F$8, 0, IF(AND($B$21=1, A45&gt;$B$19), 0, $E$8 * $G$8^((A45-$F$8)/12)))</f>
        <v>24.0046147351047</v>
      </c>
      <c r="I45" s="1" t="n">
        <f aca="false">IF(A45&lt;$F$9, 0, IF(AND($B$21=1, A45&gt;$B$19), 0, $E$9 * $G$9^((A45-$F$9)/12)))</f>
        <v>0</v>
      </c>
      <c r="J45" s="1" t="n">
        <f aca="false">IF(A45&lt;$F$10, 0, IF(AND($B$21=1, A45&gt;$B$19), 0, $E$10 * $G$10^((A45-$F$10)/12)))</f>
        <v>0</v>
      </c>
      <c r="K45" s="1" t="n">
        <f aca="false">IF(A45&lt;$F$11, 0, IF(AND($B$21=1, A45&gt;$B$19), 0, $E$11 * $G$11^((A45-$F$11)/12)))</f>
        <v>0</v>
      </c>
      <c r="L45" s="1" t="n">
        <f aca="false">IF(A45&lt;$F$12, 0, IF(AND($B$21=1, A45&gt;$B$19), 0, $E$12 * $G$12^((A45-$F$12)/12)))</f>
        <v>0</v>
      </c>
      <c r="M45" s="1" t="n">
        <f aca="false">IF(A45&lt;$F$13, 0, IF(AND($B$21=1, A45&gt;$B$19), 0, $E$13 * $G$13^((A45-$F$13)/12)))</f>
        <v>0</v>
      </c>
      <c r="N45" s="1" t="n">
        <f aca="false">IF(A45&lt;$F$14, 0, IF(AND($B$21=1, A45&gt;$B$19), 0, $E$14 * $G$14^((A45-$F$14)/12)))</f>
        <v>0</v>
      </c>
      <c r="O45" s="1" t="n">
        <f aca="false">SUM(F45:N45)</f>
        <v>71.3661069328555</v>
      </c>
      <c r="P45" s="1" t="n">
        <f aca="false">O45/12</f>
        <v>5.94717557773796</v>
      </c>
      <c r="Q45" s="1" t="n">
        <f aca="false">P45*$B$8</f>
        <v>0.594717557773796</v>
      </c>
      <c r="R45" s="1" t="n">
        <f aca="false">P45*$B$9</f>
        <v>0.297358778886898</v>
      </c>
      <c r="S45" s="1" t="n">
        <f aca="false">P45*$B$10</f>
        <v>0.356830534664278</v>
      </c>
      <c r="T45" s="1" t="n">
        <f aca="false">P45-Q45-R45-S45-D45-E45</f>
        <v>3.09559541845003</v>
      </c>
      <c r="U45" s="1" t="n">
        <f aca="false">MAX(0, T45 - $B$7*P45)</f>
        <v>0</v>
      </c>
      <c r="V45" s="1" t="n">
        <f aca="false">T45-U45</f>
        <v>3.09559541845003</v>
      </c>
      <c r="W45" s="1" t="n">
        <f aca="false"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>0</v>
      </c>
      <c r="X45" s="1" t="n">
        <f aca="false">V45-W45-C45</f>
        <v>2.84559541845003</v>
      </c>
      <c r="Y45" s="1" t="n">
        <f aca="false">IF(AND(A45&lt;=$F$10, X45&gt;0), X45*$B$23, 0)</f>
        <v>1.42279770922501</v>
      </c>
      <c r="Z45" s="1" t="n">
        <f aca="false">X45-Y45+IF(A45=$F$10+1, MAX(0, SUM(INDEX(Y:Y,31):INDEX(Y:Y,30+$F$10)) - ('1. Press Assumptions'!$D$93*'1. Press Assumptions'!$E$93 - '1. Press Assumptions'!$D$93*0.1154*0.5)), 0)</f>
        <v>1.42279770922501</v>
      </c>
      <c r="AA45" s="1" t="n">
        <f aca="false">IF(AND(A45=$B$19, $B$21=1), O45*$B$20, 0)</f>
        <v>0</v>
      </c>
      <c r="AB45" s="1" t="n">
        <f aca="false">AB44+Z45+AA45</f>
        <v>1.56139559467256</v>
      </c>
    </row>
    <row r="46" customFormat="false" ht="15" hidden="false" customHeight="true" outlineLevel="0" collapsed="false">
      <c r="A46" s="1" t="n">
        <v>16</v>
      </c>
      <c r="B46" s="1" t="n">
        <f aca="false">CEILING(A46/12,1)</f>
        <v>2</v>
      </c>
      <c r="C46" s="1" t="n">
        <f aca="false">IF(A46&lt;=18, $B$15/12, 0)</f>
        <v>0.25</v>
      </c>
      <c r="D46" s="1" t="n">
        <f aca="false">INDEX('26. Team Comp'!$D$28:$R$28, B46) * 0.001 / 12</f>
        <v>0.633043658333333</v>
      </c>
      <c r="E46" s="1" t="n">
        <f aca="false"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>1.9237037037037</v>
      </c>
      <c r="F46" s="1" t="n">
        <f aca="false">IF(A46&lt;$F$6, 0, IF(AND($B$21=1, A46&gt;$B$19), 0, $E$6 * $G$6^((A46-$F$6)/12)))</f>
        <v>23.75</v>
      </c>
      <c r="G46" s="1" t="n">
        <f aca="false">IF(A46&lt;$F$7, 0, IF(AND($B$21=1, A46&gt;$B$19), 0, $E$7 * $G$7^((A46-$F$7)/12)))</f>
        <v>23.3042437946539</v>
      </c>
      <c r="H46" s="1" t="n">
        <f aca="false">IF(A46&lt;$F$8, 0, IF(AND($B$21=1, A46&gt;$B$19), 0, $E$8 * $G$8^((A46-$F$8)/12)))</f>
        <v>23.6817059296477</v>
      </c>
      <c r="I46" s="1" t="n">
        <f aca="false">IF(A46&lt;$F$9, 0, IF(AND($B$21=1, A46&gt;$B$19), 0, $E$9 * $G$9^((A46-$F$9)/12)))</f>
        <v>25</v>
      </c>
      <c r="J46" s="1" t="n">
        <f aca="false">IF(A46&lt;$F$10, 0, IF(AND($B$21=1, A46&gt;$B$19), 0, $E$10 * $G$10^((A46-$F$10)/12)))</f>
        <v>0</v>
      </c>
      <c r="K46" s="1" t="n">
        <f aca="false">IF(A46&lt;$F$11, 0, IF(AND($B$21=1, A46&gt;$B$19), 0, $E$11 * $G$11^((A46-$F$11)/12)))</f>
        <v>0</v>
      </c>
      <c r="L46" s="1" t="n">
        <f aca="false">IF(A46&lt;$F$12, 0, IF(AND($B$21=1, A46&gt;$B$19), 0, $E$12 * $G$12^((A46-$F$12)/12)))</f>
        <v>0</v>
      </c>
      <c r="M46" s="1" t="n">
        <f aca="false">IF(A46&lt;$F$13, 0, IF(AND($B$21=1, A46&gt;$B$19), 0, $E$13 * $G$13^((A46-$F$13)/12)))</f>
        <v>0</v>
      </c>
      <c r="N46" s="1" t="n">
        <f aca="false">IF(A46&lt;$F$14, 0, IF(AND($B$21=1, A46&gt;$B$19), 0, $E$14 * $G$14^((A46-$F$14)/12)))</f>
        <v>0</v>
      </c>
      <c r="O46" s="1" t="n">
        <f aca="false">SUM(F46:N46)</f>
        <v>95.7359497243017</v>
      </c>
      <c r="P46" s="1" t="n">
        <f aca="false">O46/12</f>
        <v>7.97799581035847</v>
      </c>
      <c r="Q46" s="1" t="n">
        <f aca="false">P46*$B$8</f>
        <v>0.797799581035848</v>
      </c>
      <c r="R46" s="1" t="n">
        <f aca="false">P46*$B$9</f>
        <v>0.398899790517924</v>
      </c>
      <c r="S46" s="1" t="n">
        <f aca="false">P46*$B$10</f>
        <v>0.478679748621508</v>
      </c>
      <c r="T46" s="1" t="n">
        <f aca="false">P46-Q46-R46-S46-D46-E46</f>
        <v>3.74586932814616</v>
      </c>
      <c r="U46" s="1" t="n">
        <f aca="false">MAX(0, T46 - $B$7*P46)</f>
        <v>0</v>
      </c>
      <c r="V46" s="1" t="n">
        <f aca="false">T46-U46</f>
        <v>3.74586932814616</v>
      </c>
      <c r="W46" s="1" t="n">
        <f aca="false"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>2.45</v>
      </c>
      <c r="X46" s="1" t="n">
        <f aca="false">V46-W46-C46</f>
        <v>1.04586932814616</v>
      </c>
      <c r="Y46" s="1" t="n">
        <f aca="false">IF(AND(A46&lt;=$F$10, X46&gt;0), X46*$B$23, 0)</f>
        <v>0.522934664073079</v>
      </c>
      <c r="Z46" s="1" t="n">
        <f aca="false">X46-Y46+IF(A46=$F$10+1, MAX(0, SUM(INDEX(Y:Y,31):INDEX(Y:Y,30+$F$10)) - ('1. Press Assumptions'!$D$93*'1. Press Assumptions'!$E$93 - '1. Press Assumptions'!$D$93*0.1154*0.5)), 0)</f>
        <v>0.522934664073079</v>
      </c>
      <c r="AA46" s="1" t="n">
        <f aca="false">IF(AND(A46=$B$19, $B$21=1), O46*$B$20, 0)</f>
        <v>0</v>
      </c>
      <c r="AB46" s="1" t="n">
        <f aca="false">AB45+Z46+AA46</f>
        <v>2.08433025874564</v>
      </c>
    </row>
    <row r="47" customFormat="false" ht="15" hidden="false" customHeight="true" outlineLevel="0" collapsed="false">
      <c r="A47" s="1" t="n">
        <v>17</v>
      </c>
      <c r="B47" s="1" t="n">
        <f aca="false">CEILING(A47/12,1)</f>
        <v>2</v>
      </c>
      <c r="C47" s="1" t="n">
        <f aca="false">IF(A47&lt;=18, $B$15/12, 0)</f>
        <v>0.25</v>
      </c>
      <c r="D47" s="1" t="n">
        <f aca="false">INDEX('26. Team Comp'!$D$28:$R$28, B47) * 0.001 / 12</f>
        <v>0.633043658333333</v>
      </c>
      <c r="E47" s="1" t="n">
        <f aca="false"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>1.52444444444444</v>
      </c>
      <c r="F47" s="1" t="n">
        <f aca="false">IF(A47&lt;$F$6, 0, IF(AND($B$21=1, A47&gt;$B$19), 0, $E$6 * $G$6^((A47-$F$6)/12)))</f>
        <v>23.6486986790329</v>
      </c>
      <c r="G47" s="1" t="n">
        <f aca="false">IF(A47&lt;$F$7, 0, IF(AND($B$21=1, A47&gt;$B$19), 0, $E$7 * $G$7^((A47-$F$7)/12)))</f>
        <v>23.1005271618077</v>
      </c>
      <c r="H47" s="1" t="n">
        <f aca="false">IF(A47&lt;$F$8, 0, IF(AND($B$21=1, A47&gt;$B$19), 0, $E$8 * $G$8^((A47-$F$8)/12)))</f>
        <v>23.3631408763315</v>
      </c>
      <c r="I47" s="1" t="n">
        <f aca="false">IF(A47&lt;$F$9, 0, IF(AND($B$21=1, A47&gt;$B$19), 0, $E$9 * $G$9^((A47-$F$9)/12)))</f>
        <v>24.6637013247033</v>
      </c>
      <c r="J47" s="1" t="n">
        <f aca="false">IF(A47&lt;$F$10, 0, IF(AND($B$21=1, A47&gt;$B$19), 0, $E$10 * $G$10^((A47-$F$10)/12)))</f>
        <v>0</v>
      </c>
      <c r="K47" s="1" t="n">
        <f aca="false">IF(A47&lt;$F$11, 0, IF(AND($B$21=1, A47&gt;$B$19), 0, $E$11 * $G$11^((A47-$F$11)/12)))</f>
        <v>0</v>
      </c>
      <c r="L47" s="1" t="n">
        <f aca="false">IF(A47&lt;$F$12, 0, IF(AND($B$21=1, A47&gt;$B$19), 0, $E$12 * $G$12^((A47-$F$12)/12)))</f>
        <v>0</v>
      </c>
      <c r="M47" s="1" t="n">
        <f aca="false">IF(A47&lt;$F$13, 0, IF(AND($B$21=1, A47&gt;$B$19), 0, $E$13 * $G$13^((A47-$F$13)/12)))</f>
        <v>0</v>
      </c>
      <c r="N47" s="1" t="n">
        <f aca="false">IF(A47&lt;$F$14, 0, IF(AND($B$21=1, A47&gt;$B$19), 0, $E$14 * $G$14^((A47-$F$14)/12)))</f>
        <v>0</v>
      </c>
      <c r="O47" s="1" t="n">
        <f aca="false">SUM(F47:N47)</f>
        <v>94.7760680418753</v>
      </c>
      <c r="P47" s="1" t="n">
        <f aca="false">O47/12</f>
        <v>7.89800567015628</v>
      </c>
      <c r="Q47" s="1" t="n">
        <f aca="false">P47*$B$8</f>
        <v>0.789800567015628</v>
      </c>
      <c r="R47" s="1" t="n">
        <f aca="false">P47*$B$9</f>
        <v>0.394900283507814</v>
      </c>
      <c r="S47" s="1" t="n">
        <f aca="false">P47*$B$10</f>
        <v>0.473880340209377</v>
      </c>
      <c r="T47" s="1" t="n">
        <f aca="false">P47-Q47-R47-S47-D47-E47</f>
        <v>4.08193637664568</v>
      </c>
      <c r="U47" s="1" t="n">
        <f aca="false">MAX(0, T47 - $B$7*P47)</f>
        <v>0</v>
      </c>
      <c r="V47" s="1" t="n">
        <f aca="false">T47-U47</f>
        <v>4.08193637664568</v>
      </c>
      <c r="W47" s="1" t="n">
        <f aca="false"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>0</v>
      </c>
      <c r="X47" s="1" t="n">
        <f aca="false">V47-W47-C47</f>
        <v>3.83193637664568</v>
      </c>
      <c r="Y47" s="1" t="n">
        <f aca="false">IF(AND(A47&lt;=$F$10, X47&gt;0), X47*$B$23, 0)</f>
        <v>1.91596818832284</v>
      </c>
      <c r="Z47" s="1" t="n">
        <f aca="false">X47-Y47+IF(A47=$F$10+1, MAX(0, SUM(INDEX(Y:Y,31):INDEX(Y:Y,30+$F$10)) - ('1. Press Assumptions'!$D$93*'1. Press Assumptions'!$E$93 - '1. Press Assumptions'!$D$93*0.1154*0.5)), 0)</f>
        <v>1.91596818832284</v>
      </c>
      <c r="AA47" s="1" t="n">
        <f aca="false">IF(AND(A47=$B$19, $B$21=1), O47*$B$20, 0)</f>
        <v>0</v>
      </c>
      <c r="AB47" s="1" t="n">
        <f aca="false">AB46+Z47+AA47</f>
        <v>4.00029844706848</v>
      </c>
    </row>
    <row r="48" customFormat="false" ht="15" hidden="false" customHeight="true" outlineLevel="0" collapsed="false">
      <c r="A48" s="1" t="n">
        <v>18</v>
      </c>
      <c r="B48" s="1" t="n">
        <f aca="false">CEILING(A48/12,1)</f>
        <v>2</v>
      </c>
      <c r="C48" s="1" t="n">
        <f aca="false">IF(A48&lt;=18, $B$15/12, 0)</f>
        <v>0.25</v>
      </c>
      <c r="D48" s="1" t="n">
        <f aca="false">INDEX('26. Team Comp'!$D$28:$R$28, B48) * 0.001 / 12</f>
        <v>0.633043658333333</v>
      </c>
      <c r="E48" s="1" t="n">
        <f aca="false"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>1.29888888888889</v>
      </c>
      <c r="F48" s="1" t="n">
        <f aca="false">IF(A48&lt;$F$6, 0, IF(AND($B$21=1, A48&gt;$B$19), 0, $E$6 * $G$6^((A48-$F$6)/12)))</f>
        <v>23.5478294404924</v>
      </c>
      <c r="G48" s="1" t="n">
        <f aca="false">IF(A48&lt;$F$7, 0, IF(AND($B$21=1, A48&gt;$B$19), 0, $E$7 * $G$7^((A48-$F$7)/12)))</f>
        <v>22.8985913405107</v>
      </c>
      <c r="H48" s="1" t="n">
        <f aca="false">IF(A48&lt;$F$8, 0, IF(AND($B$21=1, A48&gt;$B$19), 0, $E$8 * $G$8^((A48-$F$8)/12)))</f>
        <v>23.0488611432322</v>
      </c>
      <c r="I48" s="1" t="n">
        <f aca="false">IF(A48&lt;$F$9, 0, IF(AND($B$21=1, A48&gt;$B$19), 0, $E$9 * $G$9^((A48-$F$9)/12)))</f>
        <v>24.3319265213668</v>
      </c>
      <c r="J48" s="1" t="n">
        <f aca="false">IF(A48&lt;$F$10, 0, IF(AND($B$21=1, A48&gt;$B$19), 0, $E$10 * $G$10^((A48-$F$10)/12)))</f>
        <v>0</v>
      </c>
      <c r="K48" s="1" t="n">
        <f aca="false">IF(A48&lt;$F$11, 0, IF(AND($B$21=1, A48&gt;$B$19), 0, $E$11 * $G$11^((A48-$F$11)/12)))</f>
        <v>0</v>
      </c>
      <c r="L48" s="1" t="n">
        <f aca="false">IF(A48&lt;$F$12, 0, IF(AND($B$21=1, A48&gt;$B$19), 0, $E$12 * $G$12^((A48-$F$12)/12)))</f>
        <v>0</v>
      </c>
      <c r="M48" s="1" t="n">
        <f aca="false">IF(A48&lt;$F$13, 0, IF(AND($B$21=1, A48&gt;$B$19), 0, $E$13 * $G$13^((A48-$F$13)/12)))</f>
        <v>0</v>
      </c>
      <c r="N48" s="1" t="n">
        <f aca="false">IF(A48&lt;$F$14, 0, IF(AND($B$21=1, A48&gt;$B$19), 0, $E$14 * $G$14^((A48-$F$14)/12)))</f>
        <v>0</v>
      </c>
      <c r="O48" s="1" t="n">
        <f aca="false">SUM(F48:N48)</f>
        <v>93.8272084456022</v>
      </c>
      <c r="P48" s="1" t="n">
        <f aca="false">O48/12</f>
        <v>7.81893403713351</v>
      </c>
      <c r="Q48" s="1" t="n">
        <f aca="false">P48*$B$8</f>
        <v>0.781893403713351</v>
      </c>
      <c r="R48" s="1" t="n">
        <f aca="false">P48*$B$9</f>
        <v>0.390946701856676</v>
      </c>
      <c r="S48" s="1" t="n">
        <f aca="false">P48*$B$10</f>
        <v>0.469136042228011</v>
      </c>
      <c r="T48" s="1" t="n">
        <f aca="false">P48-Q48-R48-S48-D48-E48</f>
        <v>4.24502534211325</v>
      </c>
      <c r="U48" s="1" t="n">
        <f aca="false">MAX(0, T48 - $B$7*P48)</f>
        <v>0</v>
      </c>
      <c r="V48" s="1" t="n">
        <f aca="false">T48-U48</f>
        <v>4.24502534211325</v>
      </c>
      <c r="W48" s="1" t="n">
        <f aca="false"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>0</v>
      </c>
      <c r="X48" s="1" t="n">
        <f aca="false">V48-W48-C48</f>
        <v>3.99502534211325</v>
      </c>
      <c r="Y48" s="1" t="n">
        <f aca="false">IF(AND(A48&lt;=$F$10, X48&gt;0), X48*$B$23, 0)</f>
        <v>1.99751267105663</v>
      </c>
      <c r="Z48" s="1" t="n">
        <f aca="false">X48-Y48+IF(A48=$F$10+1, MAX(0, SUM(INDEX(Y:Y,31):INDEX(Y:Y,30+$F$10)) - ('1. Press Assumptions'!$D$93*'1. Press Assumptions'!$E$93 - '1. Press Assumptions'!$D$93*0.1154*0.5)), 0)</f>
        <v>1.99751267105663</v>
      </c>
      <c r="AA48" s="1" t="n">
        <f aca="false">IF(AND(A48=$B$19, $B$21=1), O48*$B$20, 0)</f>
        <v>0</v>
      </c>
      <c r="AB48" s="1" t="n">
        <f aca="false">AB47+Z48+AA48</f>
        <v>5.99781111812511</v>
      </c>
    </row>
    <row r="49" customFormat="false" ht="15" hidden="false" customHeight="true" outlineLevel="0" collapsed="false">
      <c r="A49" s="1" t="n">
        <v>19</v>
      </c>
      <c r="B49" s="1" t="n">
        <f aca="false">CEILING(A49/12,1)</f>
        <v>2</v>
      </c>
      <c r="C49" s="1" t="n">
        <f aca="false">IF(A49&lt;=18, $B$15/12, 0)</f>
        <v>0</v>
      </c>
      <c r="D49" s="1" t="n">
        <f aca="false">INDEX('26. Team Comp'!$D$28:$R$28, B49) * 0.001 / 12</f>
        <v>0.633043658333333</v>
      </c>
      <c r="E49" s="1" t="n">
        <f aca="false"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>1.07333333333333</v>
      </c>
      <c r="F49" s="1" t="n">
        <f aca="false">IF(A49&lt;$F$6, 0, IF(AND($B$21=1, A49&gt;$B$19), 0, $E$6 * $G$6^((A49-$F$6)/12)))</f>
        <v>23.4473904414091</v>
      </c>
      <c r="G49" s="1" t="n">
        <f aca="false">IF(A49&lt;$F$7, 0, IF(AND($B$21=1, A49&gt;$B$19), 0, $E$7 * $G$7^((A49-$F$7)/12)))</f>
        <v>22.6984207636014</v>
      </c>
      <c r="H49" s="1" t="n">
        <f aca="false">IF(A49&lt;$F$8, 0, IF(AND($B$21=1, A49&gt;$B$19), 0, $E$8 * $G$8^((A49-$F$8)/12)))</f>
        <v>22.7388090844495</v>
      </c>
      <c r="I49" s="1" t="n">
        <f aca="false">IF(A49&lt;$F$9, 0, IF(AND($B$21=1, A49&gt;$B$19), 0, $E$9 * $G$9^((A49-$F$9)/12)))</f>
        <v>24.0046147351047</v>
      </c>
      <c r="J49" s="1" t="n">
        <f aca="false">IF(A49&lt;$F$10, 0, IF(AND($B$21=1, A49&gt;$B$19), 0, $E$10 * $G$10^((A49-$F$10)/12)))</f>
        <v>0</v>
      </c>
      <c r="K49" s="1" t="n">
        <f aca="false">IF(A49&lt;$F$11, 0, IF(AND($B$21=1, A49&gt;$B$19), 0, $E$11 * $G$11^((A49-$F$11)/12)))</f>
        <v>0</v>
      </c>
      <c r="L49" s="1" t="n">
        <f aca="false">IF(A49&lt;$F$12, 0, IF(AND($B$21=1, A49&gt;$B$19), 0, $E$12 * $G$12^((A49-$F$12)/12)))</f>
        <v>0</v>
      </c>
      <c r="M49" s="1" t="n">
        <f aca="false">IF(A49&lt;$F$13, 0, IF(AND($B$21=1, A49&gt;$B$19), 0, $E$13 * $G$13^((A49-$F$13)/12)))</f>
        <v>0</v>
      </c>
      <c r="N49" s="1" t="n">
        <f aca="false">IF(A49&lt;$F$14, 0, IF(AND($B$21=1, A49&gt;$B$19), 0, $E$14 * $G$14^((A49-$F$14)/12)))</f>
        <v>0</v>
      </c>
      <c r="O49" s="1" t="n">
        <f aca="false">SUM(F49:N49)</f>
        <v>92.8892350245647</v>
      </c>
      <c r="P49" s="1" t="n">
        <f aca="false">O49/12</f>
        <v>7.74076958538039</v>
      </c>
      <c r="Q49" s="1" t="n">
        <f aca="false">P49*$B$8</f>
        <v>0.774076958538039</v>
      </c>
      <c r="R49" s="1" t="n">
        <f aca="false">P49*$B$9</f>
        <v>0.38703847926902</v>
      </c>
      <c r="S49" s="1" t="n">
        <f aca="false">P49*$B$10</f>
        <v>0.464446175122824</v>
      </c>
      <c r="T49" s="1" t="n">
        <f aca="false">P49-Q49-R49-S49-D49-E49</f>
        <v>4.40883098078384</v>
      </c>
      <c r="U49" s="1" t="n">
        <f aca="false">MAX(0, T49 - $B$7*P49)</f>
        <v>0</v>
      </c>
      <c r="V49" s="1" t="n">
        <f aca="false">T49-U49</f>
        <v>4.40883098078384</v>
      </c>
      <c r="W49" s="1" t="n">
        <f aca="false"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>0</v>
      </c>
      <c r="X49" s="1" t="n">
        <f aca="false">V49-W49-C49</f>
        <v>4.40883098078384</v>
      </c>
      <c r="Y49" s="1" t="n">
        <f aca="false">IF(AND(A49&lt;=$F$10, X49&gt;0), X49*$B$23, 0)</f>
        <v>2.20441549039192</v>
      </c>
      <c r="Z49" s="1" t="n">
        <f aca="false">X49-Y49+IF(A49=$F$10+1, MAX(0, SUM(INDEX(Y:Y,31):INDEX(Y:Y,30+$F$10)) - ('1. Press Assumptions'!$D$93*'1. Press Assumptions'!$E$93 - '1. Press Assumptions'!$D$93*0.1154*0.5)), 0)</f>
        <v>2.20441549039192</v>
      </c>
      <c r="AA49" s="1" t="n">
        <f aca="false">IF(AND(A49=$B$19, $B$21=1), O49*$B$20, 0)</f>
        <v>0</v>
      </c>
      <c r="AB49" s="1" t="n">
        <f aca="false">AB48+Z49+AA49</f>
        <v>8.20222660851703</v>
      </c>
    </row>
    <row r="50" customFormat="false" ht="15" hidden="false" customHeight="true" outlineLevel="0" collapsed="false">
      <c r="A50" s="1" t="n">
        <v>20</v>
      </c>
      <c r="B50" s="1" t="n">
        <f aca="false">CEILING(A50/12,1)</f>
        <v>2</v>
      </c>
      <c r="C50" s="1" t="n">
        <f aca="false">IF(A50&lt;=18, $B$15/12, 0)</f>
        <v>0</v>
      </c>
      <c r="D50" s="1" t="n">
        <f aca="false">INDEX('26. Team Comp'!$D$28:$R$28, B50) * 0.001 / 12</f>
        <v>0.633043658333333</v>
      </c>
      <c r="E50" s="1" t="n">
        <f aca="false"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>0.847777777777778</v>
      </c>
      <c r="F50" s="1" t="n">
        <f aca="false">IF(A50&lt;$F$6, 0, IF(AND($B$21=1, A50&gt;$B$19), 0, $E$6 * $G$6^((A50-$F$6)/12)))</f>
        <v>23.3473798466745</v>
      </c>
      <c r="G50" s="1" t="n">
        <f aca="false">IF(A50&lt;$F$7, 0, IF(AND($B$21=1, A50&gt;$B$19), 0, $E$7 * $G$7^((A50-$F$7)/12)))</f>
        <v>22.5</v>
      </c>
      <c r="H50" s="1" t="n">
        <f aca="false">IF(A50&lt;$F$8, 0, IF(AND($B$21=1, A50&gt;$B$19), 0, $E$8 * $G$8^((A50-$F$8)/12)))</f>
        <v>22.4329278295325</v>
      </c>
      <c r="I50" s="1" t="n">
        <f aca="false">IF(A50&lt;$F$9, 0, IF(AND($B$21=1, A50&gt;$B$19), 0, $E$9 * $G$9^((A50-$F$9)/12)))</f>
        <v>23.6817059296477</v>
      </c>
      <c r="J50" s="1" t="n">
        <f aca="false">IF(A50&lt;$F$10, 0, IF(AND($B$21=1, A50&gt;$B$19), 0, $E$10 * $G$10^((A50-$F$10)/12)))</f>
        <v>0</v>
      </c>
      <c r="K50" s="1" t="n">
        <f aca="false">IF(A50&lt;$F$11, 0, IF(AND($B$21=1, A50&gt;$B$19), 0, $E$11 * $G$11^((A50-$F$11)/12)))</f>
        <v>0</v>
      </c>
      <c r="L50" s="1" t="n">
        <f aca="false">IF(A50&lt;$F$12, 0, IF(AND($B$21=1, A50&gt;$B$19), 0, $E$12 * $G$12^((A50-$F$12)/12)))</f>
        <v>0</v>
      </c>
      <c r="M50" s="1" t="n">
        <f aca="false">IF(A50&lt;$F$13, 0, IF(AND($B$21=1, A50&gt;$B$19), 0, $E$13 * $G$13^((A50-$F$13)/12)))</f>
        <v>0</v>
      </c>
      <c r="N50" s="1" t="n">
        <f aca="false">IF(A50&lt;$F$14, 0, IF(AND($B$21=1, A50&gt;$B$19), 0, $E$14 * $G$14^((A50-$F$14)/12)))</f>
        <v>0</v>
      </c>
      <c r="O50" s="1" t="n">
        <f aca="false">SUM(F50:N50)</f>
        <v>91.9620136058548</v>
      </c>
      <c r="P50" s="1" t="n">
        <f aca="false">O50/12</f>
        <v>7.66350113382123</v>
      </c>
      <c r="Q50" s="1" t="n">
        <f aca="false">P50*$B$8</f>
        <v>0.766350113382123</v>
      </c>
      <c r="R50" s="1" t="n">
        <f aca="false">P50*$B$9</f>
        <v>0.383175056691062</v>
      </c>
      <c r="S50" s="1" t="n">
        <f aca="false">P50*$B$10</f>
        <v>0.459810068029274</v>
      </c>
      <c r="T50" s="1" t="n">
        <f aca="false">P50-Q50-R50-S50-D50-E50</f>
        <v>4.57334445960766</v>
      </c>
      <c r="U50" s="1" t="n">
        <f aca="false">MAX(0, T50 - $B$7*P50)</f>
        <v>0</v>
      </c>
      <c r="V50" s="1" t="n">
        <f aca="false">T50-U50</f>
        <v>4.57334445960766</v>
      </c>
      <c r="W50" s="1" t="n">
        <f aca="false"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>0</v>
      </c>
      <c r="X50" s="1" t="n">
        <f aca="false">V50-W50-C50</f>
        <v>4.57334445960766</v>
      </c>
      <c r="Y50" s="1" t="n">
        <f aca="false">IF(AND(A50&lt;=$F$10, X50&gt;0), X50*$B$23, 0)</f>
        <v>2.28667222980383</v>
      </c>
      <c r="Z50" s="1" t="n">
        <f aca="false">X50-Y50+IF(A50=$F$10+1, MAX(0, SUM(INDEX(Y:Y,31):INDEX(Y:Y,30+$F$10)) - ('1. Press Assumptions'!$D$93*'1. Press Assumptions'!$E$93 - '1. Press Assumptions'!$D$93*0.1154*0.5)), 0)</f>
        <v>2.28667222980383</v>
      </c>
      <c r="AA50" s="1" t="n">
        <f aca="false">IF(AND(A50=$B$19, $B$21=1), O50*$B$20, 0)</f>
        <v>0</v>
      </c>
      <c r="AB50" s="1" t="n">
        <f aca="false">AB49+Z50+AA50</f>
        <v>10.4888988383209</v>
      </c>
    </row>
    <row r="51" customFormat="false" ht="15" hidden="false" customHeight="true" outlineLevel="0" collapsed="false">
      <c r="A51" s="1" t="n">
        <v>21</v>
      </c>
      <c r="B51" s="1" t="n">
        <f aca="false">CEILING(A51/12,1)</f>
        <v>2</v>
      </c>
      <c r="C51" s="1" t="n">
        <f aca="false">IF(A51&lt;=18, $B$15/12, 0)</f>
        <v>0</v>
      </c>
      <c r="D51" s="1" t="n">
        <f aca="false">INDEX('26. Team Comp'!$D$28:$R$28, B51) * 0.001 / 12</f>
        <v>0.633043658333333</v>
      </c>
      <c r="E51" s="1" t="n">
        <f aca="false"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>0.622222222222222</v>
      </c>
      <c r="F51" s="1" t="n">
        <f aca="false">IF(A51&lt;$F$6, 0, IF(AND($B$21=1, A51&gt;$B$19), 0, $E$6 * $G$6^((A51-$F$6)/12)))</f>
        <v>23.2477958290077</v>
      </c>
      <c r="G51" s="1" t="n">
        <f aca="false">IF(A51&lt;$F$7, 0, IF(AND($B$21=1, A51&gt;$B$19), 0, $E$7 * $G$7^((A51-$F$7)/12)))</f>
        <v>22.3033137535193</v>
      </c>
      <c r="H51" s="1" t="n">
        <f aca="false">IF(A51&lt;$F$8, 0, IF(AND($B$21=1, A51&gt;$B$19), 0, $E$8 * $G$8^((A51-$F$8)/12)))</f>
        <v>22.1311612730486</v>
      </c>
      <c r="I51" s="1" t="n">
        <f aca="false">IF(A51&lt;$F$9, 0, IF(AND($B$21=1, A51&gt;$B$19), 0, $E$9 * $G$9^((A51-$F$9)/12)))</f>
        <v>23.3631408763315</v>
      </c>
      <c r="J51" s="1" t="n">
        <f aca="false">IF(A51&lt;$F$10, 0, IF(AND($B$21=1, A51&gt;$B$19), 0, $E$10 * $G$10^((A51-$F$10)/12)))</f>
        <v>0</v>
      </c>
      <c r="K51" s="1" t="n">
        <f aca="false">IF(A51&lt;$F$11, 0, IF(AND($B$21=1, A51&gt;$B$19), 0, $E$11 * $G$11^((A51-$F$11)/12)))</f>
        <v>0</v>
      </c>
      <c r="L51" s="1" t="n">
        <f aca="false">IF(A51&lt;$F$12, 0, IF(AND($B$21=1, A51&gt;$B$19), 0, $E$12 * $G$12^((A51-$F$12)/12)))</f>
        <v>0</v>
      </c>
      <c r="M51" s="1" t="n">
        <f aca="false">IF(A51&lt;$F$13, 0, IF(AND($B$21=1, A51&gt;$B$19), 0, $E$13 * $G$13^((A51-$F$13)/12)))</f>
        <v>0</v>
      </c>
      <c r="N51" s="1" t="n">
        <f aca="false">IF(A51&lt;$F$14, 0, IF(AND($B$21=1, A51&gt;$B$19), 0, $E$14 * $G$14^((A51-$F$14)/12)))</f>
        <v>0</v>
      </c>
      <c r="O51" s="1" t="n">
        <f aca="false">SUM(F51:N51)</f>
        <v>91.045411731907</v>
      </c>
      <c r="P51" s="1" t="n">
        <f aca="false">O51/12</f>
        <v>7.58711764432558</v>
      </c>
      <c r="Q51" s="1" t="n">
        <f aca="false">P51*$B$8</f>
        <v>0.758711764432558</v>
      </c>
      <c r="R51" s="1" t="n">
        <f aca="false">P51*$B$9</f>
        <v>0.379355882216279</v>
      </c>
      <c r="S51" s="1" t="n">
        <f aca="false">P51*$B$10</f>
        <v>0.455227058659535</v>
      </c>
      <c r="T51" s="1" t="n">
        <f aca="false">P51-Q51-R51-S51-D51-E51</f>
        <v>4.73855705846166</v>
      </c>
      <c r="U51" s="1" t="n">
        <f aca="false">MAX(0, T51 - $B$7*P51)</f>
        <v>0</v>
      </c>
      <c r="V51" s="1" t="n">
        <f aca="false">T51-U51</f>
        <v>4.73855705846166</v>
      </c>
      <c r="W51" s="1" t="n">
        <f aca="false"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>0</v>
      </c>
      <c r="X51" s="1" t="n">
        <f aca="false">V51-W51-C51</f>
        <v>4.73855705846166</v>
      </c>
      <c r="Y51" s="1" t="n">
        <f aca="false">IF(AND(A51&lt;=$F$10, X51&gt;0), X51*$B$23, 0)</f>
        <v>2.36927852923083</v>
      </c>
      <c r="Z51" s="1" t="n">
        <f aca="false">X51-Y51+IF(A51=$F$10+1, MAX(0, SUM(INDEX(Y:Y,31):INDEX(Y:Y,30+$F$10)) - ('1. Press Assumptions'!$D$93*'1. Press Assumptions'!$E$93 - '1. Press Assumptions'!$D$93*0.1154*0.5)), 0)</f>
        <v>2.36927852923083</v>
      </c>
      <c r="AA51" s="1" t="n">
        <f aca="false">IF(AND(A51=$B$19, $B$21=1), O51*$B$20, 0)</f>
        <v>0</v>
      </c>
      <c r="AB51" s="1" t="n">
        <f aca="false">AB50+Z51+AA51</f>
        <v>12.8581773675517</v>
      </c>
    </row>
    <row r="52" customFormat="false" ht="15" hidden="false" customHeight="true" outlineLevel="0" collapsed="false">
      <c r="A52" s="1" t="n">
        <v>22</v>
      </c>
      <c r="B52" s="1" t="n">
        <f aca="false">CEILING(A52/12,1)</f>
        <v>2</v>
      </c>
      <c r="C52" s="1" t="n">
        <f aca="false">IF(A52&lt;=18, $B$15/12, 0)</f>
        <v>0</v>
      </c>
      <c r="D52" s="1" t="n">
        <f aca="false">INDEX('26. Team Comp'!$D$28:$R$28, B52) * 0.001 / 12</f>
        <v>0.633043658333333</v>
      </c>
      <c r="E52" s="1" t="n">
        <f aca="false"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>0.57037037037037</v>
      </c>
      <c r="F52" s="1" t="n">
        <f aca="false">IF(A52&lt;$F$6, 0, IF(AND($B$21=1, A52&gt;$B$19), 0, $E$6 * $G$6^((A52-$F$6)/12)))</f>
        <v>23.1486365689213</v>
      </c>
      <c r="G52" s="1" t="n">
        <f aca="false">IF(A52&lt;$F$7, 0, IF(AND($B$21=1, A52&gt;$B$19), 0, $E$7 * $G$7^((A52-$F$7)/12)))</f>
        <v>22.1083468616855</v>
      </c>
      <c r="H52" s="1" t="n">
        <f aca="false">IF(A52&lt;$F$8, 0, IF(AND($B$21=1, A52&gt;$B$19), 0, $E$8 * $G$8^((A52-$F$8)/12)))</f>
        <v>21.8334540642924</v>
      </c>
      <c r="I52" s="1" t="n">
        <f aca="false">IF(A52&lt;$F$9, 0, IF(AND($B$21=1, A52&gt;$B$19), 0, $E$9 * $G$9^((A52-$F$9)/12)))</f>
        <v>23.0488611432322</v>
      </c>
      <c r="J52" s="1" t="n">
        <f aca="false">IF(A52&lt;$F$10, 0, IF(AND($B$21=1, A52&gt;$B$19), 0, $E$10 * $G$10^((A52-$F$10)/12)))</f>
        <v>0</v>
      </c>
      <c r="K52" s="1" t="n">
        <f aca="false">IF(A52&lt;$F$11, 0, IF(AND($B$21=1, A52&gt;$B$19), 0, $E$11 * $G$11^((A52-$F$11)/12)))</f>
        <v>0</v>
      </c>
      <c r="L52" s="1" t="n">
        <f aca="false">IF(A52&lt;$F$12, 0, IF(AND($B$21=1, A52&gt;$B$19), 0, $E$12 * $G$12^((A52-$F$12)/12)))</f>
        <v>0</v>
      </c>
      <c r="M52" s="1" t="n">
        <f aca="false">IF(A52&lt;$F$13, 0, IF(AND($B$21=1, A52&gt;$B$19), 0, $E$13 * $G$13^((A52-$F$13)/12)))</f>
        <v>0</v>
      </c>
      <c r="N52" s="1" t="n">
        <f aca="false">IF(A52&lt;$F$14, 0, IF(AND($B$21=1, A52&gt;$B$19), 0, $E$14 * $G$14^((A52-$F$14)/12)))</f>
        <v>0</v>
      </c>
      <c r="O52" s="1" t="n">
        <f aca="false">SUM(F52:N52)</f>
        <v>90.1392986381314</v>
      </c>
      <c r="P52" s="1" t="n">
        <f aca="false">O52/12</f>
        <v>7.51160821984428</v>
      </c>
      <c r="Q52" s="1" t="n">
        <f aca="false">P52*$B$8</f>
        <v>0.751160821984429</v>
      </c>
      <c r="R52" s="1" t="n">
        <f aca="false">P52*$B$9</f>
        <v>0.375580410992214</v>
      </c>
      <c r="S52" s="1" t="n">
        <f aca="false">P52*$B$10</f>
        <v>0.450696493190657</v>
      </c>
      <c r="T52" s="1" t="n">
        <f aca="false">P52-Q52-R52-S52-D52-E52</f>
        <v>4.73075646497328</v>
      </c>
      <c r="U52" s="1" t="n">
        <f aca="false">MAX(0, T52 - $B$7*P52)</f>
        <v>0</v>
      </c>
      <c r="V52" s="1" t="n">
        <f aca="false">T52-U52</f>
        <v>4.73075646497328</v>
      </c>
      <c r="W52" s="1" t="n">
        <f aca="false"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>0</v>
      </c>
      <c r="X52" s="1" t="n">
        <f aca="false">V52-W52-C52</f>
        <v>4.73075646497328</v>
      </c>
      <c r="Y52" s="1" t="n">
        <f aca="false">IF(AND(A52&lt;=$F$10, X52&gt;0), X52*$B$23, 0)</f>
        <v>2.36537823248664</v>
      </c>
      <c r="Z52" s="1" t="n">
        <f aca="false">X52-Y52+IF(A52=$F$10+1, MAX(0, SUM(INDEX(Y:Y,31):INDEX(Y:Y,30+$F$10)) - ('1. Press Assumptions'!$D$93*'1. Press Assumptions'!$E$93 - '1. Press Assumptions'!$D$93*0.1154*0.5)), 0)</f>
        <v>2.36537823248664</v>
      </c>
      <c r="AA52" s="1" t="n">
        <f aca="false">IF(AND(A52=$B$19, $B$21=1), O52*$B$20, 0)</f>
        <v>0</v>
      </c>
      <c r="AB52" s="1" t="n">
        <f aca="false">AB51+Z52+AA52</f>
        <v>15.2235556000383</v>
      </c>
    </row>
    <row r="53" customFormat="false" ht="15" hidden="false" customHeight="true" outlineLevel="0" collapsed="false">
      <c r="A53" s="1" t="n">
        <v>23</v>
      </c>
      <c r="B53" s="1" t="n">
        <f aca="false">CEILING(A53/12,1)</f>
        <v>2</v>
      </c>
      <c r="C53" s="1" t="n">
        <f aca="false">IF(A53&lt;=18, $B$15/12, 0)</f>
        <v>0</v>
      </c>
      <c r="D53" s="1" t="n">
        <f aca="false">INDEX('26. Team Comp'!$D$28:$R$28, B53) * 0.001 / 12</f>
        <v>0.633043658333333</v>
      </c>
      <c r="E53" s="1" t="n">
        <f aca="false"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>0.518518518518519</v>
      </c>
      <c r="F53" s="1" t="n">
        <f aca="false">IF(A53&lt;$F$6, 0, IF(AND($B$21=1, A53&gt;$B$19), 0, $E$6 * $G$6^((A53-$F$6)/12)))</f>
        <v>23.0499002546889</v>
      </c>
      <c r="G53" s="1" t="n">
        <f aca="false">IF(A53&lt;$F$7, 0, IF(AND($B$21=1, A53&gt;$B$19), 0, $E$7 * $G$7^((A53-$F$7)/12)))</f>
        <v>21.9150842945692</v>
      </c>
      <c r="H53" s="1" t="n">
        <f aca="false">IF(A53&lt;$F$8, 0, IF(AND($B$21=1, A53&gt;$B$19), 0, $E$8 * $G$8^((A53-$F$8)/12)))</f>
        <v>21.5397515971335</v>
      </c>
      <c r="I53" s="1" t="n">
        <f aca="false">IF(A53&lt;$F$9, 0, IF(AND($B$21=1, A53&gt;$B$19), 0, $E$9 * $G$9^((A53-$F$9)/12)))</f>
        <v>22.7388090844495</v>
      </c>
      <c r="J53" s="1" t="n">
        <f aca="false">IF(A53&lt;$F$10, 0, IF(AND($B$21=1, A53&gt;$B$19), 0, $E$10 * $G$10^((A53-$F$10)/12)))</f>
        <v>0</v>
      </c>
      <c r="K53" s="1" t="n">
        <f aca="false">IF(A53&lt;$F$11, 0, IF(AND($B$21=1, A53&gt;$B$19), 0, $E$11 * $G$11^((A53-$F$11)/12)))</f>
        <v>0</v>
      </c>
      <c r="L53" s="1" t="n">
        <f aca="false">IF(A53&lt;$F$12, 0, IF(AND($B$21=1, A53&gt;$B$19), 0, $E$12 * $G$12^((A53-$F$12)/12)))</f>
        <v>0</v>
      </c>
      <c r="M53" s="1" t="n">
        <f aca="false">IF(A53&lt;$F$13, 0, IF(AND($B$21=1, A53&gt;$B$19), 0, $E$13 * $G$13^((A53-$F$13)/12)))</f>
        <v>0</v>
      </c>
      <c r="N53" s="1" t="n">
        <f aca="false">IF(A53&lt;$F$14, 0, IF(AND($B$21=1, A53&gt;$B$19), 0, $E$14 * $G$14^((A53-$F$14)/12)))</f>
        <v>0</v>
      </c>
      <c r="O53" s="1" t="n">
        <f aca="false">SUM(F53:N53)</f>
        <v>89.2435452308411</v>
      </c>
      <c r="P53" s="1" t="n">
        <f aca="false">O53/12</f>
        <v>7.43696210257009</v>
      </c>
      <c r="Q53" s="1" t="n">
        <f aca="false">P53*$B$8</f>
        <v>0.743696210257009</v>
      </c>
      <c r="R53" s="1" t="n">
        <f aca="false">P53*$B$9</f>
        <v>0.371848105128505</v>
      </c>
      <c r="S53" s="1" t="n">
        <f aca="false">P53*$B$10</f>
        <v>0.446217726154206</v>
      </c>
      <c r="T53" s="1" t="n">
        <f aca="false">P53-Q53-R53-S53-D53-E53</f>
        <v>4.72363788417852</v>
      </c>
      <c r="U53" s="1" t="n">
        <f aca="false">MAX(0, T53 - $B$7*P53)</f>
        <v>0</v>
      </c>
      <c r="V53" s="1" t="n">
        <f aca="false">T53-U53</f>
        <v>4.72363788417852</v>
      </c>
      <c r="W53" s="1" t="n">
        <f aca="false"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>0</v>
      </c>
      <c r="X53" s="1" t="n">
        <f aca="false">V53-W53-C53</f>
        <v>4.72363788417852</v>
      </c>
      <c r="Y53" s="1" t="n">
        <f aca="false">IF(AND(A53&lt;=$F$10, X53&gt;0), X53*$B$23, 0)</f>
        <v>2.36181894208926</v>
      </c>
      <c r="Z53" s="1" t="n">
        <f aca="false">X53-Y53+IF(A53=$F$10+1, MAX(0, SUM(INDEX(Y:Y,31):INDEX(Y:Y,30+$F$10)) - ('1. Press Assumptions'!$D$93*'1. Press Assumptions'!$E$93 - '1. Press Assumptions'!$D$93*0.1154*0.5)), 0)</f>
        <v>2.36181894208926</v>
      </c>
      <c r="AA53" s="1" t="n">
        <f aca="false">IF(AND(A53=$B$19, $B$21=1), O53*$B$20, 0)</f>
        <v>0</v>
      </c>
      <c r="AB53" s="1" t="n">
        <f aca="false">AB52+Z53+AA53</f>
        <v>17.5853745421276</v>
      </c>
    </row>
    <row r="54" customFormat="false" ht="15" hidden="false" customHeight="true" outlineLevel="0" collapsed="false">
      <c r="A54" s="1" t="n">
        <v>24</v>
      </c>
      <c r="B54" s="1" t="n">
        <f aca="false">CEILING(A54/12,1)</f>
        <v>2</v>
      </c>
      <c r="C54" s="1" t="n">
        <f aca="false">IF(A54&lt;=18, $B$15/12, 0)</f>
        <v>0</v>
      </c>
      <c r="D54" s="1" t="n">
        <f aca="false">INDEX('26. Team Comp'!$D$28:$R$28, B54) * 0.001 / 12</f>
        <v>0.633043658333333</v>
      </c>
      <c r="E54" s="1" t="n">
        <f aca="false"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>0.466666666666667</v>
      </c>
      <c r="F54" s="1" t="n">
        <f aca="false">IF(A54&lt;$F$6, 0, IF(AND($B$21=1, A54&gt;$B$19), 0, $E$6 * $G$6^((A54-$F$6)/12)))</f>
        <v>22.9515850823117</v>
      </c>
      <c r="G54" s="1" t="n">
        <f aca="false">IF(A54&lt;$F$7, 0, IF(AND($B$21=1, A54&gt;$B$19), 0, $E$7 * $G$7^((A54-$F$7)/12)))</f>
        <v>21.7235111536267</v>
      </c>
      <c r="H54" s="1" t="n">
        <f aca="false">IF(A54&lt;$F$8, 0, IF(AND($B$21=1, A54&gt;$B$19), 0, $E$8 * $G$8^((A54-$F$8)/12)))</f>
        <v>21.25</v>
      </c>
      <c r="I54" s="1" t="n">
        <f aca="false">IF(A54&lt;$F$9, 0, IF(AND($B$21=1, A54&gt;$B$19), 0, $E$9 * $G$9^((A54-$F$9)/12)))</f>
        <v>22.4329278295325</v>
      </c>
      <c r="J54" s="1" t="n">
        <f aca="false">IF(A54&lt;$F$10, 0, IF(AND($B$21=1, A54&gt;$B$19), 0, $E$10 * $G$10^((A54-$F$10)/12)))</f>
        <v>0</v>
      </c>
      <c r="K54" s="1" t="n">
        <f aca="false">IF(A54&lt;$F$11, 0, IF(AND($B$21=1, A54&gt;$B$19), 0, $E$11 * $G$11^((A54-$F$11)/12)))</f>
        <v>0</v>
      </c>
      <c r="L54" s="1" t="n">
        <f aca="false">IF(A54&lt;$F$12, 0, IF(AND($B$21=1, A54&gt;$B$19), 0, $E$12 * $G$12^((A54-$F$12)/12)))</f>
        <v>0</v>
      </c>
      <c r="M54" s="1" t="n">
        <f aca="false">IF(A54&lt;$F$13, 0, IF(AND($B$21=1, A54&gt;$B$19), 0, $E$13 * $G$13^((A54-$F$13)/12)))</f>
        <v>0</v>
      </c>
      <c r="N54" s="1" t="n">
        <f aca="false">IF(A54&lt;$F$14, 0, IF(AND($B$21=1, A54&gt;$B$19), 0, $E$14 * $G$14^((A54-$F$14)/12)))</f>
        <v>0</v>
      </c>
      <c r="O54" s="1" t="n">
        <f aca="false">SUM(F54:N54)</f>
        <v>88.3580240654709</v>
      </c>
      <c r="P54" s="1" t="n">
        <f aca="false">O54/12</f>
        <v>7.36316867212258</v>
      </c>
      <c r="Q54" s="1" t="n">
        <f aca="false">P54*$B$8</f>
        <v>0.736316867212258</v>
      </c>
      <c r="R54" s="1" t="n">
        <f aca="false">P54*$B$9</f>
        <v>0.368158433606129</v>
      </c>
      <c r="S54" s="1" t="n">
        <f aca="false">P54*$B$10</f>
        <v>0.441790120327355</v>
      </c>
      <c r="T54" s="1" t="n">
        <f aca="false">P54-Q54-R54-S54-D54-E54</f>
        <v>4.71719292597684</v>
      </c>
      <c r="U54" s="1" t="n">
        <f aca="false">MAX(0, T54 - $B$7*P54)</f>
        <v>0</v>
      </c>
      <c r="V54" s="1" t="n">
        <f aca="false">T54-U54</f>
        <v>4.71719292597684</v>
      </c>
      <c r="W54" s="1" t="n">
        <f aca="false"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>0</v>
      </c>
      <c r="X54" s="1" t="n">
        <f aca="false">V54-W54-C54</f>
        <v>4.71719292597684</v>
      </c>
      <c r="Y54" s="1" t="n">
        <f aca="false">IF(AND(A54&lt;=$F$10, X54&gt;0), X54*$B$23, 0)</f>
        <v>2.35859646298842</v>
      </c>
      <c r="Z54" s="1" t="n">
        <f aca="false">X54-Y54+IF(A54=$F$10+1, MAX(0, SUM(INDEX(Y:Y,31):INDEX(Y:Y,30+$F$10)) - ('1. Press Assumptions'!$D$93*'1. Press Assumptions'!$E$93 - '1. Press Assumptions'!$D$93*0.1154*0.5)), 0)</f>
        <v>2.35859646298842</v>
      </c>
      <c r="AA54" s="1" t="n">
        <f aca="false">IF(AND(A54=$B$19, $B$21=1), O54*$B$20, 0)</f>
        <v>0</v>
      </c>
      <c r="AB54" s="1" t="n">
        <f aca="false">AB53+Z54+AA54</f>
        <v>19.943971005116</v>
      </c>
    </row>
    <row r="55" customFormat="false" ht="15" hidden="false" customHeight="true" outlineLevel="0" collapsed="false">
      <c r="A55" s="1" t="n">
        <v>25</v>
      </c>
      <c r="B55" s="1" t="n">
        <f aca="false">CEILING(A55/12,1)</f>
        <v>3</v>
      </c>
      <c r="C55" s="1" t="n">
        <f aca="false">IF(A55&lt;=18, $B$15/12, 0)</f>
        <v>0</v>
      </c>
      <c r="D55" s="1" t="n">
        <f aca="false">INDEX('26. Team Comp'!$D$28:$R$28, B55) * 0.001 / 12</f>
        <v>0.636416666666667</v>
      </c>
      <c r="E55" s="1" t="n">
        <f aca="false"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>0.414814814814815</v>
      </c>
      <c r="F55" s="1" t="n">
        <f aca="false">IF(A55&lt;$F$6, 0, IF(AND($B$21=1, A55&gt;$B$19), 0, $E$6 * $G$6^((A55-$F$6)/12)))</f>
        <v>22.8536892554854</v>
      </c>
      <c r="G55" s="1" t="n">
        <f aca="false">IF(A55&lt;$F$7, 0, IF(AND($B$21=1, A55&gt;$B$19), 0, $E$7 * $G$7^((A55-$F$7)/12)))</f>
        <v>21.5336126705517</v>
      </c>
      <c r="H55" s="1" t="n">
        <f aca="false">IF(A55&lt;$F$8, 0, IF(AND($B$21=1, A55&gt;$B$19), 0, $E$8 * $G$8^((A55-$F$8)/12)))</f>
        <v>20.9641461259978</v>
      </c>
      <c r="I55" s="1" t="n">
        <f aca="false">IF(A55&lt;$F$9, 0, IF(AND($B$21=1, A55&gt;$B$19), 0, $E$9 * $G$9^((A55-$F$9)/12)))</f>
        <v>22.1311612730486</v>
      </c>
      <c r="J55" s="1" t="n">
        <f aca="false">IF(A55&lt;$F$10, 0, IF(AND($B$21=1, A55&gt;$B$19), 0, $E$10 * $G$10^((A55-$F$10)/12)))</f>
        <v>0</v>
      </c>
      <c r="K55" s="1" t="n">
        <f aca="false">IF(A55&lt;$F$11, 0, IF(AND($B$21=1, A55&gt;$B$19), 0, $E$11 * $G$11^((A55-$F$11)/12)))</f>
        <v>0</v>
      </c>
      <c r="L55" s="1" t="n">
        <f aca="false">IF(A55&lt;$F$12, 0, IF(AND($B$21=1, A55&gt;$B$19), 0, $E$12 * $G$12^((A55-$F$12)/12)))</f>
        <v>0</v>
      </c>
      <c r="M55" s="1" t="n">
        <f aca="false">IF(A55&lt;$F$13, 0, IF(AND($B$21=1, A55&gt;$B$19), 0, $E$13 * $G$13^((A55-$F$13)/12)))</f>
        <v>0</v>
      </c>
      <c r="N55" s="1" t="n">
        <f aca="false">IF(A55&lt;$F$14, 0, IF(AND($B$21=1, A55&gt;$B$19), 0, $E$14 * $G$14^((A55-$F$14)/12)))</f>
        <v>0</v>
      </c>
      <c r="O55" s="1" t="n">
        <f aca="false">SUM(F55:N55)</f>
        <v>87.4826093250834</v>
      </c>
      <c r="P55" s="1" t="n">
        <f aca="false">O55/12</f>
        <v>7.29021744375695</v>
      </c>
      <c r="Q55" s="1" t="n">
        <f aca="false">P55*$B$8</f>
        <v>0.729021744375695</v>
      </c>
      <c r="R55" s="1" t="n">
        <f aca="false">P55*$B$9</f>
        <v>0.364510872187847</v>
      </c>
      <c r="S55" s="1" t="n">
        <f aca="false">P55*$B$10</f>
        <v>0.437413046625417</v>
      </c>
      <c r="T55" s="1" t="n">
        <f aca="false">P55-Q55-R55-S55-D55-E55</f>
        <v>4.70804029908651</v>
      </c>
      <c r="U55" s="1" t="n">
        <f aca="false">MAX(0, T55 - $B$7*P55)</f>
        <v>0</v>
      </c>
      <c r="V55" s="1" t="n">
        <f aca="false">T55-U55</f>
        <v>4.70804029908651</v>
      </c>
      <c r="W55" s="1" t="n">
        <f aca="false"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>0</v>
      </c>
      <c r="X55" s="1" t="n">
        <f aca="false">V55-W55-C55</f>
        <v>4.70804029908651</v>
      </c>
      <c r="Y55" s="1" t="n">
        <f aca="false">IF(AND(A55&lt;=$F$10, X55&gt;0), X55*$B$23, 0)</f>
        <v>2.35402014954325</v>
      </c>
      <c r="Z55" s="1" t="n">
        <f aca="false">X55-Y55+IF(A55=$F$10+1, MAX(0, SUM(INDEX(Y:Y,31):INDEX(Y:Y,30+$F$10)) - ('1. Press Assumptions'!$D$93*'1. Press Assumptions'!$E$93 - '1. Press Assumptions'!$D$93*0.1154*0.5)), 0)</f>
        <v>2.35402014954325</v>
      </c>
      <c r="AA55" s="1" t="n">
        <f aca="false">IF(AND(A55=$B$19, $B$21=1), O55*$B$20, 0)</f>
        <v>0</v>
      </c>
      <c r="AB55" s="1" t="n">
        <f aca="false">AB54+Z55+AA55</f>
        <v>22.2979911546593</v>
      </c>
    </row>
    <row r="56" customFormat="false" ht="15" hidden="false" customHeight="true" outlineLevel="0" collapsed="false">
      <c r="A56" s="1" t="n">
        <v>26</v>
      </c>
      <c r="B56" s="1" t="n">
        <f aca="false">CEILING(A56/12,1)</f>
        <v>3</v>
      </c>
      <c r="C56" s="1" t="n">
        <f aca="false">IF(A56&lt;=18, $B$15/12, 0)</f>
        <v>0</v>
      </c>
      <c r="D56" s="1" t="n">
        <f aca="false">INDEX('26. Team Comp'!$D$28:$R$28, B56) * 0.001 / 12</f>
        <v>0.636416666666667</v>
      </c>
      <c r="E56" s="1" t="n">
        <f aca="false"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>0.362962962962963</v>
      </c>
      <c r="F56" s="1" t="n">
        <f aca="false">IF(A56&lt;$F$6, 0, IF(AND($B$21=1, A56&gt;$B$19), 0, $E$6 * $G$6^((A56-$F$6)/12)))</f>
        <v>22.7562109855674</v>
      </c>
      <c r="G56" s="1" t="n">
        <f aca="false">IF(A56&lt;$F$7, 0, IF(AND($B$21=1, A56&gt;$B$19), 0, $E$7 * $G$7^((A56-$F$7)/12)))</f>
        <v>21.3453742061366</v>
      </c>
      <c r="H56" s="1" t="n">
        <f aca="false">IF(A56&lt;$F$8, 0, IF(AND($B$21=1, A56&gt;$B$19), 0, $E$8 * $G$8^((A56-$F$8)/12)))</f>
        <v>20.6821375431618</v>
      </c>
      <c r="I56" s="1" t="n">
        <f aca="false">IF(A56&lt;$F$9, 0, IF(AND($B$21=1, A56&gt;$B$19), 0, $E$9 * $G$9^((A56-$F$9)/12)))</f>
        <v>21.8334540642924</v>
      </c>
      <c r="J56" s="1" t="n">
        <f aca="false">IF(A56&lt;$F$10, 0, IF(AND($B$21=1, A56&gt;$B$19), 0, $E$10 * $G$10^((A56-$F$10)/12)))</f>
        <v>0</v>
      </c>
      <c r="K56" s="1" t="n">
        <f aca="false">IF(A56&lt;$F$11, 0, IF(AND($B$21=1, A56&gt;$B$19), 0, $E$11 * $G$11^((A56-$F$11)/12)))</f>
        <v>0</v>
      </c>
      <c r="L56" s="1" t="n">
        <f aca="false">IF(A56&lt;$F$12, 0, IF(AND($B$21=1, A56&gt;$B$19), 0, $E$12 * $G$12^((A56-$F$12)/12)))</f>
        <v>0</v>
      </c>
      <c r="M56" s="1" t="n">
        <f aca="false">IF(A56&lt;$F$13, 0, IF(AND($B$21=1, A56&gt;$B$19), 0, $E$13 * $G$13^((A56-$F$13)/12)))</f>
        <v>0</v>
      </c>
      <c r="N56" s="1" t="n">
        <f aca="false">IF(A56&lt;$F$14, 0, IF(AND($B$21=1, A56&gt;$B$19), 0, $E$14 * $G$14^((A56-$F$14)/12)))</f>
        <v>0</v>
      </c>
      <c r="O56" s="1" t="n">
        <f aca="false">SUM(F56:N56)</f>
        <v>86.6171767991581</v>
      </c>
      <c r="P56" s="1" t="n">
        <f aca="false">O56/12</f>
        <v>7.21809806659651</v>
      </c>
      <c r="Q56" s="1" t="n">
        <f aca="false">P56*$B$8</f>
        <v>0.721809806659651</v>
      </c>
      <c r="R56" s="1" t="n">
        <f aca="false">P56*$B$9</f>
        <v>0.360904903329826</v>
      </c>
      <c r="S56" s="1" t="n">
        <f aca="false">P56*$B$10</f>
        <v>0.433085883995791</v>
      </c>
      <c r="T56" s="1" t="n">
        <f aca="false">P56-Q56-R56-S56-D56-E56</f>
        <v>4.70291784298161</v>
      </c>
      <c r="U56" s="1" t="n">
        <f aca="false">MAX(0, T56 - $B$7*P56)</f>
        <v>0</v>
      </c>
      <c r="V56" s="1" t="n">
        <f aca="false">T56-U56</f>
        <v>4.70291784298161</v>
      </c>
      <c r="W56" s="1" t="n">
        <f aca="false"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>0</v>
      </c>
      <c r="X56" s="1" t="n">
        <f aca="false">V56-W56-C56</f>
        <v>4.70291784298161</v>
      </c>
      <c r="Y56" s="1" t="n">
        <f aca="false">IF(AND(A56&lt;=$F$10, X56&gt;0), X56*$B$23, 0)</f>
        <v>2.35145892149081</v>
      </c>
      <c r="Z56" s="1" t="n">
        <f aca="false">X56-Y56+IF(A56=$F$10+1, MAX(0, SUM(INDEX(Y:Y,31):INDEX(Y:Y,30+$F$10)) - ('1. Press Assumptions'!$D$93*'1. Press Assumptions'!$E$93 - '1. Press Assumptions'!$D$93*0.1154*0.5)), 0)</f>
        <v>2.35145892149081</v>
      </c>
      <c r="AA56" s="1" t="n">
        <f aca="false">IF(AND(A56=$B$19, $B$21=1), O56*$B$20, 0)</f>
        <v>0</v>
      </c>
      <c r="AB56" s="1" t="n">
        <f aca="false">AB55+Z56+AA56</f>
        <v>24.6494500761501</v>
      </c>
    </row>
    <row r="57" customFormat="false" ht="15" hidden="false" customHeight="true" outlineLevel="0" collapsed="false">
      <c r="A57" s="1" t="n">
        <v>27</v>
      </c>
      <c r="B57" s="1" t="n">
        <f aca="false">CEILING(A57/12,1)</f>
        <v>3</v>
      </c>
      <c r="C57" s="1" t="n">
        <f aca="false">IF(A57&lt;=18, $B$15/12, 0)</f>
        <v>0</v>
      </c>
      <c r="D57" s="1" t="n">
        <f aca="false">INDEX('26. Team Comp'!$D$28:$R$28, B57) * 0.001 / 12</f>
        <v>0.636416666666667</v>
      </c>
      <c r="E57" s="1" t="n">
        <f aca="false"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>0.311111111111111</v>
      </c>
      <c r="F57" s="1" t="n">
        <f aca="false">IF(A57&lt;$F$6, 0, IF(AND($B$21=1, A57&gt;$B$19), 0, $E$6 * $G$6^((A57-$F$6)/12)))</f>
        <v>22.6591484915445</v>
      </c>
      <c r="G57" s="1" t="n">
        <f aca="false">IF(A57&lt;$F$7, 0, IF(AND($B$21=1, A57&gt;$B$19), 0, $E$7 * $G$7^((A57-$F$7)/12)))</f>
        <v>21.1587812491441</v>
      </c>
      <c r="H57" s="1" t="n">
        <f aca="false">IF(A57&lt;$F$8, 0, IF(AND($B$21=1, A57&gt;$B$19), 0, $E$8 * $G$8^((A57-$F$8)/12)))</f>
        <v>20.403922524839</v>
      </c>
      <c r="I57" s="1" t="n">
        <f aca="false">IF(A57&lt;$F$9, 0, IF(AND($B$21=1, A57&gt;$B$19), 0, $E$9 * $G$9^((A57-$F$9)/12)))</f>
        <v>21.5397515971335</v>
      </c>
      <c r="J57" s="1" t="n">
        <f aca="false">IF(A57&lt;$F$10, 0, IF(AND($B$21=1, A57&gt;$B$19), 0, $E$10 * $G$10^((A57-$F$10)/12)))</f>
        <v>0</v>
      </c>
      <c r="K57" s="1" t="n">
        <f aca="false">IF(A57&lt;$F$11, 0, IF(AND($B$21=1, A57&gt;$B$19), 0, $E$11 * $G$11^((A57-$F$11)/12)))</f>
        <v>0</v>
      </c>
      <c r="L57" s="1" t="n">
        <f aca="false">IF(A57&lt;$F$12, 0, IF(AND($B$21=1, A57&gt;$B$19), 0, $E$12 * $G$12^((A57-$F$12)/12)))</f>
        <v>0</v>
      </c>
      <c r="M57" s="1" t="n">
        <f aca="false">IF(A57&lt;$F$13, 0, IF(AND($B$21=1, A57&gt;$B$19), 0, $E$13 * $G$13^((A57-$F$13)/12)))</f>
        <v>0</v>
      </c>
      <c r="N57" s="1" t="n">
        <f aca="false">IF(A57&lt;$F$14, 0, IF(AND($B$21=1, A57&gt;$B$19), 0, $E$14 * $G$14^((A57-$F$14)/12)))</f>
        <v>0</v>
      </c>
      <c r="O57" s="1" t="n">
        <f aca="false">SUM(F57:N57)</f>
        <v>85.7616038626611</v>
      </c>
      <c r="P57" s="1" t="n">
        <f aca="false">O57/12</f>
        <v>7.14680032188842</v>
      </c>
      <c r="Q57" s="1" t="n">
        <f aca="false">P57*$B$8</f>
        <v>0.714680032188842</v>
      </c>
      <c r="R57" s="1" t="n">
        <f aca="false">P57*$B$9</f>
        <v>0.357340016094421</v>
      </c>
      <c r="S57" s="1" t="n">
        <f aca="false">P57*$B$10</f>
        <v>0.428808019313305</v>
      </c>
      <c r="T57" s="1" t="n">
        <f aca="false">P57-Q57-R57-S57-D57-E57</f>
        <v>4.69844447651408</v>
      </c>
      <c r="U57" s="1" t="n">
        <f aca="false">MAX(0, T57 - $B$7*P57)</f>
        <v>0</v>
      </c>
      <c r="V57" s="1" t="n">
        <f aca="false">T57-U57</f>
        <v>4.69844447651408</v>
      </c>
      <c r="W57" s="1" t="n">
        <f aca="false"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>0</v>
      </c>
      <c r="X57" s="1" t="n">
        <f aca="false">V57-W57-C57</f>
        <v>4.69844447651408</v>
      </c>
      <c r="Y57" s="1" t="n">
        <f aca="false">IF(AND(A57&lt;=$F$10, X57&gt;0), X57*$B$23, 0)</f>
        <v>2.34922223825704</v>
      </c>
      <c r="Z57" s="1" t="n">
        <f aca="false">X57-Y57+IF(A57=$F$10+1, MAX(0, SUM(INDEX(Y:Y,31):INDEX(Y:Y,30+$F$10)) - ('1. Press Assumptions'!$D$93*'1. Press Assumptions'!$E$93 - '1. Press Assumptions'!$D$93*0.1154*0.5)), 0)</f>
        <v>2.34922223825704</v>
      </c>
      <c r="AA57" s="1" t="n">
        <f aca="false">IF(AND(A57=$B$19, $B$21=1), O57*$B$20, 0)</f>
        <v>0</v>
      </c>
      <c r="AB57" s="1" t="n">
        <f aca="false">AB56+Z57+AA57</f>
        <v>26.9986723144071</v>
      </c>
    </row>
    <row r="58" customFormat="false" ht="15" hidden="false" customHeight="true" outlineLevel="0" collapsed="false">
      <c r="A58" s="1" t="n">
        <v>28</v>
      </c>
      <c r="B58" s="1" t="n">
        <f aca="false">CEILING(A58/12,1)</f>
        <v>3</v>
      </c>
      <c r="C58" s="1" t="n">
        <f aca="false">IF(A58&lt;=18, $B$15/12, 0)</f>
        <v>0</v>
      </c>
      <c r="D58" s="1" t="n">
        <f aca="false">INDEX('26. Team Comp'!$D$28:$R$28, B58) * 0.001 / 12</f>
        <v>0.636416666666667</v>
      </c>
      <c r="E58" s="1" t="n">
        <f aca="false"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>0.272222222222222</v>
      </c>
      <c r="F58" s="1" t="n">
        <f aca="false">IF(A58&lt;$F$6, 0, IF(AND($B$21=1, A58&gt;$B$19), 0, $E$6 * $G$6^((A58-$F$6)/12)))</f>
        <v>22.5625</v>
      </c>
      <c r="G58" s="1" t="n">
        <f aca="false">IF(A58&lt;$F$7, 0, IF(AND($B$21=1, A58&gt;$B$19), 0, $E$7 * $G$7^((A58-$F$7)/12)))</f>
        <v>20.9738194151886</v>
      </c>
      <c r="H58" s="1" t="n">
        <f aca="false">IF(A58&lt;$F$8, 0, IF(AND($B$21=1, A58&gt;$B$19), 0, $E$8 * $G$8^((A58-$F$8)/12)))</f>
        <v>20.1294500402006</v>
      </c>
      <c r="I58" s="1" t="n">
        <f aca="false">IF(A58&lt;$F$9, 0, IF(AND($B$21=1, A58&gt;$B$19), 0, $E$9 * $G$9^((A58-$F$9)/12)))</f>
        <v>21.25</v>
      </c>
      <c r="J58" s="1" t="n">
        <f aca="false">IF(A58&lt;$F$10, 0, IF(AND($B$21=1, A58&gt;$B$19), 0, $E$10 * $G$10^((A58-$F$10)/12)))</f>
        <v>0</v>
      </c>
      <c r="K58" s="1" t="n">
        <f aca="false">IF(A58&lt;$F$11, 0, IF(AND($B$21=1, A58&gt;$B$19), 0, $E$11 * $G$11^((A58-$F$11)/12)))</f>
        <v>0</v>
      </c>
      <c r="L58" s="1" t="n">
        <f aca="false">IF(A58&lt;$F$12, 0, IF(AND($B$21=1, A58&gt;$B$19), 0, $E$12 * $G$12^((A58-$F$12)/12)))</f>
        <v>0</v>
      </c>
      <c r="M58" s="1" t="n">
        <f aca="false">IF(A58&lt;$F$13, 0, IF(AND($B$21=1, A58&gt;$B$19), 0, $E$13 * $G$13^((A58-$F$13)/12)))</f>
        <v>0</v>
      </c>
      <c r="N58" s="1" t="n">
        <f aca="false">IF(A58&lt;$F$14, 0, IF(AND($B$21=1, A58&gt;$B$19), 0, $E$14 * $G$14^((A58-$F$14)/12)))</f>
        <v>0</v>
      </c>
      <c r="O58" s="1" t="n">
        <f aca="false">SUM(F58:N58)</f>
        <v>84.9157694553891</v>
      </c>
      <c r="P58" s="1" t="n">
        <f aca="false">O58/12</f>
        <v>7.07631412128243</v>
      </c>
      <c r="Q58" s="1" t="n">
        <f aca="false">P58*$B$8</f>
        <v>0.707631412128243</v>
      </c>
      <c r="R58" s="1" t="n">
        <f aca="false">P58*$B$9</f>
        <v>0.353815706064121</v>
      </c>
      <c r="S58" s="1" t="n">
        <f aca="false">P58*$B$10</f>
        <v>0.424578847276946</v>
      </c>
      <c r="T58" s="1" t="n">
        <f aca="false">P58-Q58-R58-S58-D58-E58</f>
        <v>4.68164926692423</v>
      </c>
      <c r="U58" s="1" t="n">
        <f aca="false">MAX(0, T58 - $B$7*P58)</f>
        <v>0</v>
      </c>
      <c r="V58" s="1" t="n">
        <f aca="false">T58-U58</f>
        <v>4.68164926692423</v>
      </c>
      <c r="W58" s="1" t="n">
        <f aca="false"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>0</v>
      </c>
      <c r="X58" s="1" t="n">
        <f aca="false">V58-W58-C58</f>
        <v>4.68164926692423</v>
      </c>
      <c r="Y58" s="1" t="n">
        <f aca="false">IF(AND(A58&lt;=$F$10, X58&gt;0), X58*$B$23, 0)</f>
        <v>2.34082463346211</v>
      </c>
      <c r="Z58" s="1" t="n">
        <f aca="false">X58-Y58+IF(A58=$F$10+1, MAX(0, SUM(INDEX(Y:Y,31):INDEX(Y:Y,30+$F$10)) - ('1. Press Assumptions'!$D$93*'1. Press Assumptions'!$E$93 - '1. Press Assumptions'!$D$93*0.1154*0.5)), 0)</f>
        <v>2.34082463346211</v>
      </c>
      <c r="AA58" s="1" t="n">
        <f aca="false">IF(AND(A58=$B$19, $B$21=1), O58*$B$20, 0)</f>
        <v>0</v>
      </c>
      <c r="AB58" s="1" t="n">
        <f aca="false">AB57+Z58+AA58</f>
        <v>29.3394969478692</v>
      </c>
    </row>
    <row r="59" customFormat="false" ht="15" hidden="false" customHeight="true" outlineLevel="0" collapsed="false">
      <c r="A59" s="1" t="n">
        <v>29</v>
      </c>
      <c r="B59" s="1" t="n">
        <f aca="false">CEILING(A59/12,1)</f>
        <v>3</v>
      </c>
      <c r="C59" s="1" t="n">
        <f aca="false">IF(A59&lt;=18, $B$15/12, 0)</f>
        <v>0</v>
      </c>
      <c r="D59" s="1" t="n">
        <f aca="false">INDEX('26. Team Comp'!$D$28:$R$28, B59) * 0.001 / 12</f>
        <v>0.636416666666667</v>
      </c>
      <c r="E59" s="1" t="n">
        <f aca="false"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>0.233333333333333</v>
      </c>
      <c r="F59" s="1" t="n">
        <f aca="false">IF(A59&lt;$F$6, 0, IF(AND($B$21=1, A59&gt;$B$19), 0, $E$6 * $G$6^((A59-$F$6)/12)))</f>
        <v>22.4662637450813</v>
      </c>
      <c r="G59" s="1" t="n">
        <f aca="false">IF(A59&lt;$F$7, 0, IF(AND($B$21=1, A59&gt;$B$19), 0, $E$7 * $G$7^((A59-$F$7)/12)))</f>
        <v>20.7904744456269</v>
      </c>
      <c r="H59" s="1" t="n">
        <f aca="false">IF(A59&lt;$F$8, 0, IF(AND($B$21=1, A59&gt;$B$19), 0, $E$8 * $G$8^((A59-$F$8)/12)))</f>
        <v>19.8586697448817</v>
      </c>
      <c r="I59" s="1" t="n">
        <f aca="false">IF(A59&lt;$F$9, 0, IF(AND($B$21=1, A59&gt;$B$19), 0, $E$9 * $G$9^((A59-$F$9)/12)))</f>
        <v>20.9641461259978</v>
      </c>
      <c r="J59" s="1" t="n">
        <f aca="false">IF(A59&lt;$F$10, 0, IF(AND($B$21=1, A59&gt;$B$19), 0, $E$10 * $G$10^((A59-$F$10)/12)))</f>
        <v>0</v>
      </c>
      <c r="K59" s="1" t="n">
        <f aca="false">IF(A59&lt;$F$11, 0, IF(AND($B$21=1, A59&gt;$B$19), 0, $E$11 * $G$11^((A59-$F$11)/12)))</f>
        <v>0</v>
      </c>
      <c r="L59" s="1" t="n">
        <f aca="false">IF(A59&lt;$F$12, 0, IF(AND($B$21=1, A59&gt;$B$19), 0, $E$12 * $G$12^((A59-$F$12)/12)))</f>
        <v>0</v>
      </c>
      <c r="M59" s="1" t="n">
        <f aca="false">IF(A59&lt;$F$13, 0, IF(AND($B$21=1, A59&gt;$B$19), 0, $E$13 * $G$13^((A59-$F$13)/12)))</f>
        <v>0</v>
      </c>
      <c r="N59" s="1" t="n">
        <f aca="false">IF(A59&lt;$F$14, 0, IF(AND($B$21=1, A59&gt;$B$19), 0, $E$14 * $G$14^((A59-$F$14)/12)))</f>
        <v>0</v>
      </c>
      <c r="O59" s="1" t="n">
        <f aca="false">SUM(F59:N59)</f>
        <v>84.0795540615877</v>
      </c>
      <c r="P59" s="1" t="n">
        <f aca="false">O59/12</f>
        <v>7.00662950513231</v>
      </c>
      <c r="Q59" s="1" t="n">
        <f aca="false">P59*$B$8</f>
        <v>0.700662950513231</v>
      </c>
      <c r="R59" s="1" t="n">
        <f aca="false">P59*$B$9</f>
        <v>0.350331475256616</v>
      </c>
      <c r="S59" s="1" t="n">
        <f aca="false">P59*$B$10</f>
        <v>0.420397770307939</v>
      </c>
      <c r="T59" s="1" t="n">
        <f aca="false">P59-Q59-R59-S59-D59-E59</f>
        <v>4.66548730905453</v>
      </c>
      <c r="U59" s="1" t="n">
        <f aca="false">MAX(0, T59 - $B$7*P59)</f>
        <v>0</v>
      </c>
      <c r="V59" s="1" t="n">
        <f aca="false">T59-U59</f>
        <v>4.66548730905453</v>
      </c>
      <c r="W59" s="1" t="n">
        <f aca="false"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>0</v>
      </c>
      <c r="X59" s="1" t="n">
        <f aca="false">V59-W59-C59</f>
        <v>4.66548730905453</v>
      </c>
      <c r="Y59" s="1" t="n">
        <f aca="false">IF(AND(A59&lt;=$F$10, X59&gt;0), X59*$B$23, 0)</f>
        <v>2.33274365452726</v>
      </c>
      <c r="Z59" s="1" t="n">
        <f aca="false">X59-Y59+IF(A59=$F$10+1, MAX(0, SUM(INDEX(Y:Y,31):INDEX(Y:Y,30+$F$10)) - ('1. Press Assumptions'!$D$93*'1. Press Assumptions'!$E$93 - '1. Press Assumptions'!$D$93*0.1154*0.5)), 0)</f>
        <v>2.33274365452726</v>
      </c>
      <c r="AA59" s="1" t="n">
        <f aca="false">IF(AND(A59=$B$19, $B$21=1), O59*$B$20, 0)</f>
        <v>0</v>
      </c>
      <c r="AB59" s="1" t="n">
        <f aca="false">AB58+Z59+AA59</f>
        <v>31.6722406023965</v>
      </c>
    </row>
    <row r="60" customFormat="false" ht="15" hidden="false" customHeight="true" outlineLevel="0" collapsed="false">
      <c r="A60" s="1" t="n">
        <v>30</v>
      </c>
      <c r="B60" s="1" t="n">
        <f aca="false">CEILING(A60/12,1)</f>
        <v>3</v>
      </c>
      <c r="C60" s="1" t="n">
        <f aca="false">IF(A60&lt;=18, $B$15/12, 0)</f>
        <v>0</v>
      </c>
      <c r="D60" s="1" t="n">
        <f aca="false">INDEX('26. Team Comp'!$D$28:$R$28, B60) * 0.001 / 12</f>
        <v>0.636416666666667</v>
      </c>
      <c r="E60" s="1" t="n">
        <f aca="false"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>0.194444444444444</v>
      </c>
      <c r="F60" s="1" t="n">
        <f aca="false">IF(A60&lt;$F$6, 0, IF(AND($B$21=1, A60&gt;$B$19), 0, $E$6 * $G$6^((A60-$F$6)/12)))</f>
        <v>22.3704379684678</v>
      </c>
      <c r="G60" s="1" t="n">
        <f aca="false">IF(A60&lt;$F$7, 0, IF(AND($B$21=1, A60&gt;$B$19), 0, $E$7 * $G$7^((A60-$F$7)/12)))</f>
        <v>20.6087322064597</v>
      </c>
      <c r="H60" s="1" t="n">
        <f aca="false">IF(A60&lt;$F$8, 0, IF(AND($B$21=1, A60&gt;$B$19), 0, $E$8 * $G$8^((A60-$F$8)/12)))</f>
        <v>19.5915319717474</v>
      </c>
      <c r="I60" s="1" t="n">
        <f aca="false">IF(A60&lt;$F$9, 0, IF(AND($B$21=1, A60&gt;$B$19), 0, $E$9 * $G$9^((A60-$F$9)/12)))</f>
        <v>20.6821375431618</v>
      </c>
      <c r="J60" s="1" t="n">
        <f aca="false">IF(A60&lt;$F$10, 0, IF(AND($B$21=1, A60&gt;$B$19), 0, $E$10 * $G$10^((A60-$F$10)/12)))</f>
        <v>0</v>
      </c>
      <c r="K60" s="1" t="n">
        <f aca="false">IF(A60&lt;$F$11, 0, IF(AND($B$21=1, A60&gt;$B$19), 0, $E$11 * $G$11^((A60-$F$11)/12)))</f>
        <v>0</v>
      </c>
      <c r="L60" s="1" t="n">
        <f aca="false">IF(A60&lt;$F$12, 0, IF(AND($B$21=1, A60&gt;$B$19), 0, $E$12 * $G$12^((A60-$F$12)/12)))</f>
        <v>0</v>
      </c>
      <c r="M60" s="1" t="n">
        <f aca="false">IF(A60&lt;$F$13, 0, IF(AND($B$21=1, A60&gt;$B$19), 0, $E$13 * $G$13^((A60-$F$13)/12)))</f>
        <v>0</v>
      </c>
      <c r="N60" s="1" t="n">
        <f aca="false">IF(A60&lt;$F$14, 0, IF(AND($B$21=1, A60&gt;$B$19), 0, $E$14 * $G$14^((A60-$F$14)/12)))</f>
        <v>0</v>
      </c>
      <c r="O60" s="1" t="n">
        <f aca="false">SUM(F60:N60)</f>
        <v>83.2528396898366</v>
      </c>
      <c r="P60" s="1" t="n">
        <f aca="false">O60/12</f>
        <v>6.93773664081972</v>
      </c>
      <c r="Q60" s="1" t="n">
        <f aca="false">P60*$B$8</f>
        <v>0.693773664081972</v>
      </c>
      <c r="R60" s="1" t="n">
        <f aca="false">P60*$B$9</f>
        <v>0.346886832040986</v>
      </c>
      <c r="S60" s="1" t="n">
        <f aca="false">P60*$B$10</f>
        <v>0.416264198449183</v>
      </c>
      <c r="T60" s="1" t="n">
        <f aca="false">P60-Q60-R60-S60-D60-E60</f>
        <v>4.64995083513647</v>
      </c>
      <c r="U60" s="1" t="n">
        <f aca="false">MAX(0, T60 - $B$7*P60)</f>
        <v>0</v>
      </c>
      <c r="V60" s="1" t="n">
        <f aca="false">T60-U60</f>
        <v>4.64995083513647</v>
      </c>
      <c r="W60" s="1" t="n">
        <f aca="false"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>0</v>
      </c>
      <c r="X60" s="1" t="n">
        <f aca="false">V60-W60-C60</f>
        <v>4.64995083513647</v>
      </c>
      <c r="Y60" s="1" t="n">
        <f aca="false">IF(AND(A60&lt;=$F$10, X60&gt;0), X60*$B$23, 0)</f>
        <v>2.32497541756823</v>
      </c>
      <c r="Z60" s="1" t="n">
        <f aca="false">X60-Y60+IF(A60=$F$10+1, MAX(0, SUM(INDEX(Y:Y,31):INDEX(Y:Y,30+$F$10)) - ('1. Press Assumptions'!$D$93*'1. Press Assumptions'!$E$93 - '1. Press Assumptions'!$D$93*0.1154*0.5)), 0)</f>
        <v>2.32497541756823</v>
      </c>
      <c r="AA60" s="1" t="n">
        <f aca="false">IF(AND(A60=$B$19, $B$21=1), O60*$B$20, 0)</f>
        <v>0</v>
      </c>
      <c r="AB60" s="1" t="n">
        <f aca="false">AB59+Z60+AA60</f>
        <v>33.9972160199647</v>
      </c>
    </row>
    <row r="61" customFormat="false" ht="15" hidden="false" customHeight="true" outlineLevel="0" collapsed="false">
      <c r="A61" s="1" t="n">
        <v>31</v>
      </c>
      <c r="B61" s="1" t="n">
        <f aca="false">CEILING(A61/12,1)</f>
        <v>3</v>
      </c>
      <c r="C61" s="1" t="n">
        <f aca="false">IF(A61&lt;=18, $B$15/12, 0)</f>
        <v>0</v>
      </c>
      <c r="D61" s="1" t="n">
        <f aca="false">INDEX('26. Team Comp'!$D$28:$R$28, B61) * 0.001 / 12</f>
        <v>0.636416666666667</v>
      </c>
      <c r="E61" s="1" t="n">
        <f aca="false"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>0.155555555555556</v>
      </c>
      <c r="F61" s="1" t="n">
        <f aca="false">IF(A61&lt;$F$6, 0, IF(AND($B$21=1, A61&gt;$B$19), 0, $E$6 * $G$6^((A61-$F$6)/12)))</f>
        <v>22.2750209193386</v>
      </c>
      <c r="G61" s="1" t="n">
        <f aca="false">IF(A61&lt;$F$7, 0, IF(AND($B$21=1, A61&gt;$B$19), 0, $E$7 * $G$7^((A61-$F$7)/12)))</f>
        <v>20.4285786872413</v>
      </c>
      <c r="H61" s="1" t="n">
        <f aca="false">IF(A61&lt;$F$8, 0, IF(AND($B$21=1, A61&gt;$B$19), 0, $E$8 * $G$8^((A61-$F$8)/12)))</f>
        <v>19.3279877217821</v>
      </c>
      <c r="I61" s="1" t="n">
        <f aca="false">IF(A61&lt;$F$9, 0, IF(AND($B$21=1, A61&gt;$B$19), 0, $E$9 * $G$9^((A61-$F$9)/12)))</f>
        <v>20.403922524839</v>
      </c>
      <c r="J61" s="1" t="n">
        <f aca="false">IF(A61&lt;$F$10, 0, IF(AND($B$21=1, A61&gt;$B$19), 0, $E$10 * $G$10^((A61-$F$10)/12)))</f>
        <v>0</v>
      </c>
      <c r="K61" s="1" t="n">
        <f aca="false">IF(A61&lt;$F$11, 0, IF(AND($B$21=1, A61&gt;$B$19), 0, $E$11 * $G$11^((A61-$F$11)/12)))</f>
        <v>0</v>
      </c>
      <c r="L61" s="1" t="n">
        <f aca="false">IF(A61&lt;$F$12, 0, IF(AND($B$21=1, A61&gt;$B$19), 0, $E$12 * $G$12^((A61-$F$12)/12)))</f>
        <v>0</v>
      </c>
      <c r="M61" s="1" t="n">
        <f aca="false">IF(A61&lt;$F$13, 0, IF(AND($B$21=1, A61&gt;$B$19), 0, $E$13 * $G$13^((A61-$F$13)/12)))</f>
        <v>0</v>
      </c>
      <c r="N61" s="1" t="n">
        <f aca="false">IF(A61&lt;$F$14, 0, IF(AND($B$21=1, A61&gt;$B$19), 0, $E$14 * $G$14^((A61-$F$14)/12)))</f>
        <v>0</v>
      </c>
      <c r="O61" s="1" t="n">
        <f aca="false">SUM(F61:N61)</f>
        <v>82.435509853201</v>
      </c>
      <c r="P61" s="1" t="n">
        <f aca="false">O61/12</f>
        <v>6.86962582110008</v>
      </c>
      <c r="Q61" s="1" t="n">
        <f aca="false">P61*$B$8</f>
        <v>0.686962582110008</v>
      </c>
      <c r="R61" s="1" t="n">
        <f aca="false">P61*$B$9</f>
        <v>0.343481291055004</v>
      </c>
      <c r="S61" s="1" t="n">
        <f aca="false">P61*$B$10</f>
        <v>0.412177549266005</v>
      </c>
      <c r="T61" s="1" t="n">
        <f aca="false">P61-Q61-R61-S61-D61-E61</f>
        <v>4.63503217644684</v>
      </c>
      <c r="U61" s="1" t="n">
        <f aca="false">MAX(0, T61 - $B$7*P61)</f>
        <v>0</v>
      </c>
      <c r="V61" s="1" t="n">
        <f aca="false">T61-U61</f>
        <v>4.63503217644684</v>
      </c>
      <c r="W61" s="1" t="n">
        <f aca="false"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>0</v>
      </c>
      <c r="X61" s="1" t="n">
        <f aca="false">V61-W61-C61</f>
        <v>4.63503217644684</v>
      </c>
      <c r="Y61" s="1" t="n">
        <f aca="false">IF(AND(A61&lt;=$F$10, X61&gt;0), X61*$B$23, 0)</f>
        <v>2.31751608822342</v>
      </c>
      <c r="Z61" s="1" t="n">
        <f aca="false">X61-Y61+IF(A61=$F$10+1, MAX(0, SUM(INDEX(Y:Y,31):INDEX(Y:Y,30+$F$10)) - ('1. Press Assumptions'!$D$93*'1. Press Assumptions'!$E$93 - '1. Press Assumptions'!$D$93*0.1154*0.5)), 0)</f>
        <v>2.31751608822342</v>
      </c>
      <c r="AA61" s="1" t="n">
        <f aca="false">IF(AND(A61=$B$19, $B$21=1), O61*$B$20, 0)</f>
        <v>0</v>
      </c>
      <c r="AB61" s="1" t="n">
        <f aca="false">AB60+Z61+AA61</f>
        <v>36.3147321081881</v>
      </c>
    </row>
    <row r="62" customFormat="false" ht="15" hidden="false" customHeight="true" outlineLevel="0" collapsed="false">
      <c r="A62" s="1" t="n">
        <v>32</v>
      </c>
      <c r="B62" s="1" t="n">
        <f aca="false">CEILING(A62/12,1)</f>
        <v>3</v>
      </c>
      <c r="C62" s="1" t="n">
        <f aca="false">IF(A62&lt;=18, $B$15/12, 0)</f>
        <v>0</v>
      </c>
      <c r="D62" s="1" t="n">
        <f aca="false">INDEX('26. Team Comp'!$D$28:$R$28, B62) * 0.001 / 12</f>
        <v>0.636416666666667</v>
      </c>
      <c r="E62" s="1" t="n">
        <f aca="false"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>1.2962962962963</v>
      </c>
      <c r="F62" s="1" t="n">
        <f aca="false">IF(A62&lt;$F$6, 0, IF(AND($B$21=1, A62&gt;$B$19), 0, $E$6 * $G$6^((A62-$F$6)/12)))</f>
        <v>22.1800108543408</v>
      </c>
      <c r="G62" s="1" t="n">
        <f aca="false">IF(A62&lt;$F$7, 0, IF(AND($B$21=1, A62&gt;$B$19), 0, $E$7 * $G$7^((A62-$F$7)/12)))</f>
        <v>20.25</v>
      </c>
      <c r="H62" s="1" t="n">
        <f aca="false">IF(A62&lt;$F$8, 0, IF(AND($B$21=1, A62&gt;$B$19), 0, $E$8 * $G$8^((A62-$F$8)/12)))</f>
        <v>19.0679886551026</v>
      </c>
      <c r="I62" s="1" t="n">
        <f aca="false">IF(A62&lt;$F$9, 0, IF(AND($B$21=1, A62&gt;$B$19), 0, $E$9 * $G$9^((A62-$F$9)/12)))</f>
        <v>20.1294500402006</v>
      </c>
      <c r="J62" s="1" t="n">
        <f aca="false">IF(A62&lt;$F$10, 0, IF(AND($B$21=1, A62&gt;$B$19), 0, $E$10 * $G$10^((A62-$F$10)/12)))</f>
        <v>18</v>
      </c>
      <c r="K62" s="1" t="n">
        <f aca="false">IF(A62&lt;$F$11, 0, IF(AND($B$21=1, A62&gt;$B$19), 0, $E$11 * $G$11^((A62-$F$11)/12)))</f>
        <v>0</v>
      </c>
      <c r="L62" s="1" t="n">
        <f aca="false">IF(A62&lt;$F$12, 0, IF(AND($B$21=1, A62&gt;$B$19), 0, $E$12 * $G$12^((A62-$F$12)/12)))</f>
        <v>0</v>
      </c>
      <c r="M62" s="1" t="n">
        <f aca="false">IF(A62&lt;$F$13, 0, IF(AND($B$21=1, A62&gt;$B$19), 0, $E$13 * $G$13^((A62-$F$13)/12)))</f>
        <v>0</v>
      </c>
      <c r="N62" s="1" t="n">
        <f aca="false">IF(A62&lt;$F$14, 0, IF(AND($B$21=1, A62&gt;$B$19), 0, $E$14 * $G$14^((A62-$F$14)/12)))</f>
        <v>0</v>
      </c>
      <c r="O62" s="1" t="n">
        <f aca="false">SUM(F62:N62)</f>
        <v>99.627449549644</v>
      </c>
      <c r="P62" s="1" t="n">
        <f aca="false">O62/12</f>
        <v>8.30228746247033</v>
      </c>
      <c r="Q62" s="1" t="n">
        <f aca="false">P62*$B$8</f>
        <v>0.830228746247034</v>
      </c>
      <c r="R62" s="1" t="n">
        <f aca="false">P62*$B$9</f>
        <v>0.415114373123517</v>
      </c>
      <c r="S62" s="1" t="n">
        <f aca="false">P62*$B$10</f>
        <v>0.49813724774822</v>
      </c>
      <c r="T62" s="1" t="n">
        <f aca="false">P62-Q62-R62-S62-D62-E62</f>
        <v>4.6260941323886</v>
      </c>
      <c r="U62" s="1" t="n">
        <f aca="false">MAX(0, T62 - $B$7*P62)</f>
        <v>0</v>
      </c>
      <c r="V62" s="1" t="n">
        <f aca="false">T62-U62</f>
        <v>4.6260941323886</v>
      </c>
      <c r="W62" s="1" t="n">
        <f aca="false"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>2.45</v>
      </c>
      <c r="X62" s="1" t="n">
        <f aca="false">V62-W62-C62</f>
        <v>2.1760941323886</v>
      </c>
      <c r="Y62" s="1" t="n">
        <f aca="false">IF(AND(A62&lt;=$F$10, X62&gt;0), X62*$B$23, 0)</f>
        <v>1.0880470661943</v>
      </c>
      <c r="Z62" s="1" t="n">
        <f aca="false">X62-Y62+IF(A62=$F$10+1, MAX(0, SUM(INDEX(Y:Y,31):INDEX(Y:Y,30+$F$10)) - ('1. Press Assumptions'!$D$93*'1. Press Assumptions'!$E$93 - '1. Press Assumptions'!$D$93*0.1154*0.5)), 0)</f>
        <v>1.0880470661943</v>
      </c>
      <c r="AA62" s="1" t="n">
        <f aca="false">IF(AND(A62=$B$19, $B$21=1), O62*$B$20, 0)</f>
        <v>0</v>
      </c>
      <c r="AB62" s="1" t="n">
        <f aca="false">AB61+Z62+AA62</f>
        <v>37.4027791743824</v>
      </c>
    </row>
    <row r="63" customFormat="false" ht="15" hidden="false" customHeight="true" outlineLevel="0" collapsed="false">
      <c r="A63" s="1" t="n">
        <v>33</v>
      </c>
      <c r="B63" s="1" t="n">
        <f aca="false">CEILING(A63/12,1)</f>
        <v>3</v>
      </c>
      <c r="C63" s="1" t="n">
        <f aca="false">IF(A63&lt;=18, $B$15/12, 0)</f>
        <v>0</v>
      </c>
      <c r="D63" s="1" t="n">
        <f aca="false">INDEX('26. Team Comp'!$D$28:$R$28, B63) * 0.001 / 12</f>
        <v>0.636416666666667</v>
      </c>
      <c r="E63" s="1" t="n">
        <f aca="false"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>1.0837037037037</v>
      </c>
      <c r="F63" s="1" t="n">
        <f aca="false">IF(A63&lt;$F$6, 0, IF(AND($B$21=1, A63&gt;$B$19), 0, $E$6 * $G$6^((A63-$F$6)/12)))</f>
        <v>22.0854060375573</v>
      </c>
      <c r="G63" s="1" t="n">
        <f aca="false">IF(A63&lt;$F$7, 0, IF(AND($B$21=1, A63&gt;$B$19), 0, $E$7 * $G$7^((A63-$F$7)/12)))</f>
        <v>20.0729823781674</v>
      </c>
      <c r="H63" s="1" t="n">
        <f aca="false">IF(A63&lt;$F$8, 0, IF(AND($B$21=1, A63&gt;$B$19), 0, $E$8 * $G$8^((A63-$F$8)/12)))</f>
        <v>18.8114870820913</v>
      </c>
      <c r="I63" s="1" t="n">
        <f aca="false">IF(A63&lt;$F$9, 0, IF(AND($B$21=1, A63&gt;$B$19), 0, $E$9 * $G$9^((A63-$F$9)/12)))</f>
        <v>19.8586697448817</v>
      </c>
      <c r="J63" s="1" t="n">
        <f aca="false">IF(A63&lt;$F$10, 0, IF(AND($B$21=1, A63&gt;$B$19), 0, $E$10 * $G$10^((A63-$F$10)/12)))</f>
        <v>17.9232242620039</v>
      </c>
      <c r="K63" s="1" t="n">
        <f aca="false">IF(A63&lt;$F$11, 0, IF(AND($B$21=1, A63&gt;$B$19), 0, $E$11 * $G$11^((A63-$F$11)/12)))</f>
        <v>0</v>
      </c>
      <c r="L63" s="1" t="n">
        <f aca="false">IF(A63&lt;$F$12, 0, IF(AND($B$21=1, A63&gt;$B$19), 0, $E$12 * $G$12^((A63-$F$12)/12)))</f>
        <v>0</v>
      </c>
      <c r="M63" s="1" t="n">
        <f aca="false">IF(A63&lt;$F$13, 0, IF(AND($B$21=1, A63&gt;$B$19), 0, $E$13 * $G$13^((A63-$F$13)/12)))</f>
        <v>0</v>
      </c>
      <c r="N63" s="1" t="n">
        <f aca="false">IF(A63&lt;$F$14, 0, IF(AND($B$21=1, A63&gt;$B$19), 0, $E$14 * $G$14^((A63-$F$14)/12)))</f>
        <v>0</v>
      </c>
      <c r="O63" s="1" t="n">
        <f aca="false">SUM(F63:N63)</f>
        <v>98.7517695047016</v>
      </c>
      <c r="P63" s="1" t="n">
        <f aca="false">O63/12</f>
        <v>8.2293141253918</v>
      </c>
      <c r="Q63" s="1" t="n">
        <f aca="false">P63*$B$8</f>
        <v>0.82293141253918</v>
      </c>
      <c r="R63" s="1" t="n">
        <f aca="false">P63*$B$9</f>
        <v>0.41146570626959</v>
      </c>
      <c r="S63" s="1" t="n">
        <f aca="false">P63*$B$10</f>
        <v>0.493758847523508</v>
      </c>
      <c r="T63" s="1" t="n">
        <f aca="false">P63-Q63-R63-S63-D63-E63</f>
        <v>4.78103778868915</v>
      </c>
      <c r="U63" s="1" t="n">
        <f aca="false">MAX(0, T63 - $B$7*P63)</f>
        <v>0</v>
      </c>
      <c r="V63" s="1" t="n">
        <f aca="false">T63-U63</f>
        <v>4.78103778868915</v>
      </c>
      <c r="W63" s="1" t="n">
        <f aca="false"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>0</v>
      </c>
      <c r="X63" s="1" t="n">
        <f aca="false">V63-W63-C63</f>
        <v>4.78103778868915</v>
      </c>
      <c r="Y63" s="1" t="n">
        <f aca="false">IF(AND(A63&lt;=$F$10, X63&gt;0), X63*$B$23, 0)</f>
        <v>0</v>
      </c>
      <c r="Z63" s="1" t="n">
        <f aca="false">X63-Y63+IF(A63=$F$10+1, MAX(0, SUM(INDEX(Y:Y,31):INDEX(Y:Y,30+$F$10)) - ('1. Press Assumptions'!$D$93*'1. Press Assumptions'!$E$93 - '1. Press Assumptions'!$D$93*0.1154*0.5)), 0)</f>
        <v>12.6566802916792</v>
      </c>
      <c r="AA63" s="1" t="n">
        <f aca="false">IF(AND(A63=$B$19, $B$21=1), O63*$B$20, 0)</f>
        <v>0</v>
      </c>
      <c r="AB63" s="1" t="n">
        <f aca="false">AB62+Z63+AA63</f>
        <v>50.0594594660617</v>
      </c>
    </row>
    <row r="64" customFormat="false" ht="15" hidden="false" customHeight="true" outlineLevel="0" collapsed="false">
      <c r="A64" s="1" t="n">
        <v>34</v>
      </c>
      <c r="B64" s="1" t="n">
        <f aca="false">CEILING(A64/12,1)</f>
        <v>3</v>
      </c>
      <c r="C64" s="1" t="n">
        <f aca="false">IF(A64&lt;=18, $B$15/12, 0)</f>
        <v>0</v>
      </c>
      <c r="D64" s="1" t="n">
        <f aca="false">INDEX('26. Team Comp'!$D$28:$R$28, B64) * 0.001 / 12</f>
        <v>0.636416666666667</v>
      </c>
      <c r="E64" s="1" t="n">
        <f aca="false"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>0.871111111111111</v>
      </c>
      <c r="F64" s="1" t="n">
        <f aca="false">IF(A64&lt;$F$6, 0, IF(AND($B$21=1, A64&gt;$B$19), 0, $E$6 * $G$6^((A64-$F$6)/12)))</f>
        <v>21.9912047404752</v>
      </c>
      <c r="G64" s="1" t="n">
        <f aca="false">IF(A64&lt;$F$7, 0, IF(AND($B$21=1, A64&gt;$B$19), 0, $E$7 * $G$7^((A64-$F$7)/12)))</f>
        <v>19.897512175517</v>
      </c>
      <c r="H64" s="1" t="n">
        <f aca="false">IF(A64&lt;$F$8, 0, IF(AND($B$21=1, A64&gt;$B$19), 0, $E$8 * $G$8^((A64-$F$8)/12)))</f>
        <v>18.5584359546485</v>
      </c>
      <c r="I64" s="1" t="n">
        <f aca="false">IF(A64&lt;$F$9, 0, IF(AND($B$21=1, A64&gt;$B$19), 0, $E$9 * $G$9^((A64-$F$9)/12)))</f>
        <v>19.5915319717474</v>
      </c>
      <c r="J64" s="1" t="n">
        <f aca="false">IF(A64&lt;$F$10, 0, IF(AND($B$21=1, A64&gt;$B$19), 0, $E$10 * $G$10^((A64-$F$10)/12)))</f>
        <v>17.8467759970048</v>
      </c>
      <c r="K64" s="1" t="n">
        <f aca="false">IF(A64&lt;$F$11, 0, IF(AND($B$21=1, A64&gt;$B$19), 0, $E$11 * $G$11^((A64-$F$11)/12)))</f>
        <v>0</v>
      </c>
      <c r="L64" s="1" t="n">
        <f aca="false">IF(A64&lt;$F$12, 0, IF(AND($B$21=1, A64&gt;$B$19), 0, $E$12 * $G$12^((A64-$F$12)/12)))</f>
        <v>0</v>
      </c>
      <c r="M64" s="1" t="n">
        <f aca="false">IF(A64&lt;$F$13, 0, IF(AND($B$21=1, A64&gt;$B$19), 0, $E$13 * $G$13^((A64-$F$13)/12)))</f>
        <v>0</v>
      </c>
      <c r="N64" s="1" t="n">
        <f aca="false">IF(A64&lt;$F$14, 0, IF(AND($B$21=1, A64&gt;$B$19), 0, $E$14 * $G$14^((A64-$F$14)/12)))</f>
        <v>0</v>
      </c>
      <c r="O64" s="1" t="n">
        <f aca="false">SUM(F64:N64)</f>
        <v>97.8854608393929</v>
      </c>
      <c r="P64" s="1" t="n">
        <f aca="false">O64/12</f>
        <v>8.15712173661607</v>
      </c>
      <c r="Q64" s="1" t="n">
        <f aca="false">P64*$B$8</f>
        <v>0.815712173661607</v>
      </c>
      <c r="R64" s="1" t="n">
        <f aca="false">P64*$B$9</f>
        <v>0.407856086830804</v>
      </c>
      <c r="S64" s="1" t="n">
        <f aca="false">P64*$B$10</f>
        <v>0.489427304196964</v>
      </c>
      <c r="T64" s="1" t="n">
        <f aca="false">P64-Q64-R64-S64-D64-E64</f>
        <v>4.93659839414892</v>
      </c>
      <c r="U64" s="1" t="n">
        <f aca="false">MAX(0, T64 - $B$7*P64)</f>
        <v>0</v>
      </c>
      <c r="V64" s="1" t="n">
        <f aca="false">T64-U64</f>
        <v>4.93659839414892</v>
      </c>
      <c r="W64" s="1" t="n">
        <f aca="false"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>0</v>
      </c>
      <c r="X64" s="1" t="n">
        <f aca="false">V64-W64-C64</f>
        <v>4.93659839414892</v>
      </c>
      <c r="Y64" s="1" t="n">
        <f aca="false">IF(AND(A64&lt;=$F$10, X64&gt;0), X64*$B$23, 0)</f>
        <v>0</v>
      </c>
      <c r="Z64" s="1" t="n">
        <f aca="false">X64-Y64+IF(A64=$F$10+1, MAX(0, SUM(INDEX(Y:Y,31):INDEX(Y:Y,30+$F$10)) - ('1. Press Assumptions'!$D$93*'1. Press Assumptions'!$E$93 - '1. Press Assumptions'!$D$93*0.1154*0.5)), 0)</f>
        <v>4.93659839414892</v>
      </c>
      <c r="AA64" s="1" t="n">
        <f aca="false">IF(AND(A64=$B$19, $B$21=1), O64*$B$20, 0)</f>
        <v>0</v>
      </c>
      <c r="AB64" s="1" t="n">
        <f aca="false">AB63+Z64+AA64</f>
        <v>54.9960578602106</v>
      </c>
    </row>
    <row r="65" customFormat="false" ht="15" hidden="false" customHeight="true" outlineLevel="0" collapsed="false">
      <c r="A65" s="1" t="n">
        <v>35</v>
      </c>
      <c r="B65" s="1" t="n">
        <f aca="false">CEILING(A65/12,1)</f>
        <v>3</v>
      </c>
      <c r="C65" s="1" t="n">
        <f aca="false">IF(A65&lt;=18, $B$15/12, 0)</f>
        <v>0</v>
      </c>
      <c r="D65" s="1" t="n">
        <f aca="false">INDEX('26. Team Comp'!$D$28:$R$28, B65) * 0.001 / 12</f>
        <v>0.636416666666667</v>
      </c>
      <c r="E65" s="1" t="n">
        <f aca="false"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>0.658518518518518</v>
      </c>
      <c r="F65" s="1" t="n">
        <f aca="false">IF(A65&lt;$F$6, 0, IF(AND($B$21=1, A65&gt;$B$19), 0, $E$6 * $G$6^((A65-$F$6)/12)))</f>
        <v>21.8974052419545</v>
      </c>
      <c r="G65" s="1" t="n">
        <f aca="false">IF(A65&lt;$F$7, 0, IF(AND($B$21=1, A65&gt;$B$19), 0, $E$7 * $G$7^((A65-$F$7)/12)))</f>
        <v>19.7235758651123</v>
      </c>
      <c r="H65" s="1" t="n">
        <f aca="false">IF(A65&lt;$F$8, 0, IF(AND($B$21=1, A65&gt;$B$19), 0, $E$8 * $G$8^((A65-$F$8)/12)))</f>
        <v>18.3087888575634</v>
      </c>
      <c r="I65" s="1" t="n">
        <f aca="false">IF(A65&lt;$F$9, 0, IF(AND($B$21=1, A65&gt;$B$19), 0, $E$9 * $G$9^((A65-$F$9)/12)))</f>
        <v>19.3279877217821</v>
      </c>
      <c r="J65" s="1" t="n">
        <f aca="false">IF(A65&lt;$F$10, 0, IF(AND($B$21=1, A65&gt;$B$19), 0, $E$10 * $G$10^((A65-$F$10)/12)))</f>
        <v>17.7706538082258</v>
      </c>
      <c r="K65" s="1" t="n">
        <f aca="false">IF(A65&lt;$F$11, 0, IF(AND($B$21=1, A65&gt;$B$19), 0, $E$11 * $G$11^((A65-$F$11)/12)))</f>
        <v>0</v>
      </c>
      <c r="L65" s="1" t="n">
        <f aca="false">IF(A65&lt;$F$12, 0, IF(AND($B$21=1, A65&gt;$B$19), 0, $E$12 * $G$12^((A65-$F$12)/12)))</f>
        <v>0</v>
      </c>
      <c r="M65" s="1" t="n">
        <f aca="false">IF(A65&lt;$F$13, 0, IF(AND($B$21=1, A65&gt;$B$19), 0, $E$13 * $G$13^((A65-$F$13)/12)))</f>
        <v>0</v>
      </c>
      <c r="N65" s="1" t="n">
        <f aca="false">IF(A65&lt;$F$14, 0, IF(AND($B$21=1, A65&gt;$B$19), 0, $E$14 * $G$14^((A65-$F$14)/12)))</f>
        <v>0</v>
      </c>
      <c r="O65" s="1" t="n">
        <f aca="false">SUM(F65:N65)</f>
        <v>97.0284114946381</v>
      </c>
      <c r="P65" s="1" t="n">
        <f aca="false">O65/12</f>
        <v>8.08570095788651</v>
      </c>
      <c r="Q65" s="1" t="n">
        <f aca="false">P65*$B$8</f>
        <v>0.808570095788651</v>
      </c>
      <c r="R65" s="1" t="n">
        <f aca="false">P65*$B$9</f>
        <v>0.404285047894325</v>
      </c>
      <c r="S65" s="1" t="n">
        <f aca="false">P65*$B$10</f>
        <v>0.485142057473191</v>
      </c>
      <c r="T65" s="1" t="n">
        <f aca="false">P65-Q65-R65-S65-D65-E65</f>
        <v>5.09276857154516</v>
      </c>
      <c r="U65" s="1" t="n">
        <f aca="false">MAX(0, T65 - $B$7*P65)</f>
        <v>0</v>
      </c>
      <c r="V65" s="1" t="n">
        <f aca="false">T65-U65</f>
        <v>5.09276857154516</v>
      </c>
      <c r="W65" s="1" t="n">
        <f aca="false"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>0</v>
      </c>
      <c r="X65" s="1" t="n">
        <f aca="false">V65-W65-C65</f>
        <v>5.09276857154516</v>
      </c>
      <c r="Y65" s="1" t="n">
        <f aca="false">IF(AND(A65&lt;=$F$10, X65&gt;0), X65*$B$23, 0)</f>
        <v>0</v>
      </c>
      <c r="Z65" s="1" t="n">
        <f aca="false">X65-Y65+IF(A65=$F$10+1, MAX(0, SUM(INDEX(Y:Y,31):INDEX(Y:Y,30+$F$10)) - ('1. Press Assumptions'!$D$93*'1. Press Assumptions'!$E$93 - '1. Press Assumptions'!$D$93*0.1154*0.5)), 0)</f>
        <v>5.09276857154516</v>
      </c>
      <c r="AA65" s="1" t="n">
        <f aca="false">IF(AND(A65=$B$19, $B$21=1), O65*$B$20, 0)</f>
        <v>0</v>
      </c>
      <c r="AB65" s="1" t="n">
        <f aca="false">AB64+Z65+AA65</f>
        <v>60.0888264317557</v>
      </c>
    </row>
    <row r="66" customFormat="false" ht="15" hidden="false" customHeight="true" outlineLevel="0" collapsed="false">
      <c r="A66" s="1" t="n">
        <v>36</v>
      </c>
      <c r="B66" s="1" t="n">
        <f aca="false">CEILING(A66/12,1)</f>
        <v>3</v>
      </c>
      <c r="C66" s="1" t="n">
        <f aca="false">IF(A66&lt;=18, $B$15/12, 0)</f>
        <v>0</v>
      </c>
      <c r="D66" s="1" t="n">
        <f aca="false">INDEX('26. Team Comp'!$D$28:$R$28, B66) * 0.001 / 12</f>
        <v>0.636416666666667</v>
      </c>
      <c r="E66" s="1" t="n">
        <f aca="false"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>0.458888888888889</v>
      </c>
      <c r="F66" s="1" t="n">
        <f aca="false">IF(A66&lt;$F$6, 0, IF(AND($B$21=1, A66&gt;$B$19), 0, $E$6 * $G$6^((A66-$F$6)/12)))</f>
        <v>21.8040058281961</v>
      </c>
      <c r="G66" s="1" t="n">
        <f aca="false">IF(A66&lt;$F$7, 0, IF(AND($B$21=1, A66&gt;$B$19), 0, $E$7 * $G$7^((A66-$F$7)/12)))</f>
        <v>19.551160038264</v>
      </c>
      <c r="H66" s="1" t="n">
        <f aca="false">IF(A66&lt;$F$8, 0, IF(AND($B$21=1, A66&gt;$B$19), 0, $E$8 * $G$8^((A66-$F$8)/12)))</f>
        <v>18.0625</v>
      </c>
      <c r="I66" s="1" t="n">
        <f aca="false">IF(A66&lt;$F$9, 0, IF(AND($B$21=1, A66&gt;$B$19), 0, $E$9 * $G$9^((A66-$F$9)/12)))</f>
        <v>19.0679886551026</v>
      </c>
      <c r="J66" s="1" t="n">
        <f aca="false">IF(A66&lt;$F$10, 0, IF(AND($B$21=1, A66&gt;$B$19), 0, $E$10 * $G$10^((A66-$F$10)/12)))</f>
        <v>17.6948563048481</v>
      </c>
      <c r="K66" s="1" t="n">
        <f aca="false">IF(A66&lt;$F$11, 0, IF(AND($B$21=1, A66&gt;$B$19), 0, $E$11 * $G$11^((A66-$F$11)/12)))</f>
        <v>0</v>
      </c>
      <c r="L66" s="1" t="n">
        <f aca="false">IF(A66&lt;$F$12, 0, IF(AND($B$21=1, A66&gt;$B$19), 0, $E$12 * $G$12^((A66-$F$12)/12)))</f>
        <v>0</v>
      </c>
      <c r="M66" s="1" t="n">
        <f aca="false">IF(A66&lt;$F$13, 0, IF(AND($B$21=1, A66&gt;$B$19), 0, $E$13 * $G$13^((A66-$F$13)/12)))</f>
        <v>0</v>
      </c>
      <c r="N66" s="1" t="n">
        <f aca="false">IF(A66&lt;$F$14, 0, IF(AND($B$21=1, A66&gt;$B$19), 0, $E$14 * $G$14^((A66-$F$14)/12)))</f>
        <v>0</v>
      </c>
      <c r="O66" s="1" t="n">
        <f aca="false">SUM(F66:N66)</f>
        <v>96.1805108264108</v>
      </c>
      <c r="P66" s="1" t="n">
        <f aca="false">O66/12</f>
        <v>8.01504256886757</v>
      </c>
      <c r="Q66" s="1" t="n">
        <f aca="false">P66*$B$8</f>
        <v>0.801504256886757</v>
      </c>
      <c r="R66" s="1" t="n">
        <f aca="false">P66*$B$9</f>
        <v>0.400752128443379</v>
      </c>
      <c r="S66" s="1" t="n">
        <f aca="false">P66*$B$10</f>
        <v>0.480902554132054</v>
      </c>
      <c r="T66" s="1" t="n">
        <f aca="false">P66-Q66-R66-S66-D66-E66</f>
        <v>5.23657807384983</v>
      </c>
      <c r="U66" s="1" t="n">
        <f aca="false">MAX(0, T66 - $B$7*P66)</f>
        <v>0</v>
      </c>
      <c r="V66" s="1" t="n">
        <f aca="false">T66-U66</f>
        <v>5.23657807384983</v>
      </c>
      <c r="W66" s="1" t="n">
        <f aca="false"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>0</v>
      </c>
      <c r="X66" s="1" t="n">
        <f aca="false">V66-W66-C66</f>
        <v>5.23657807384983</v>
      </c>
      <c r="Y66" s="1" t="n">
        <f aca="false">IF(AND(A66&lt;=$F$10, X66&gt;0), X66*$B$23, 0)</f>
        <v>0</v>
      </c>
      <c r="Z66" s="1" t="n">
        <f aca="false">X66-Y66+IF(A66=$F$10+1, MAX(0, SUM(INDEX(Y:Y,31):INDEX(Y:Y,30+$F$10)) - ('1. Press Assumptions'!$D$93*'1. Press Assumptions'!$E$93 - '1. Press Assumptions'!$D$93*0.1154*0.5)), 0)</f>
        <v>5.23657807384983</v>
      </c>
      <c r="AA66" s="1" t="n">
        <f aca="false">IF(AND(A66=$B$19, $B$21=1), O66*$B$20, 0)</f>
        <v>0</v>
      </c>
      <c r="AB66" s="1" t="n">
        <f aca="false">AB65+Z66+AA66</f>
        <v>65.3254045056056</v>
      </c>
    </row>
    <row r="67" customFormat="false" ht="15" hidden="false" customHeight="true" outlineLevel="0" collapsed="false">
      <c r="A67" s="1" t="n">
        <v>37</v>
      </c>
      <c r="B67" s="1" t="n">
        <f aca="false">CEILING(A67/12,1)</f>
        <v>4</v>
      </c>
      <c r="C67" s="1" t="n">
        <f aca="false">IF(A67&lt;=18, $B$15/12, 0)</f>
        <v>0</v>
      </c>
      <c r="D67" s="1" t="n">
        <f aca="false">INDEX('26. Team Comp'!$D$28:$R$28, B67) * 0.001 / 12</f>
        <v>0.636416666666667</v>
      </c>
      <c r="E67" s="1" t="n">
        <f aca="false"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>0.259259259259259</v>
      </c>
      <c r="F67" s="1" t="n">
        <f aca="false">IF(A67&lt;$F$6, 0, IF(AND($B$21=1, A67&gt;$B$19), 0, $E$6 * $G$6^((A67-$F$6)/12)))</f>
        <v>21.7110047927111</v>
      </c>
      <c r="G67" s="1" t="n">
        <f aca="false">IF(A67&lt;$F$7, 0, IF(AND($B$21=1, A67&gt;$B$19), 0, $E$7 * $G$7^((A67-$F$7)/12)))</f>
        <v>19.3802514034965</v>
      </c>
      <c r="H67" s="1" t="n">
        <f aca="false">IF(A67&lt;$F$8, 0, IF(AND($B$21=1, A67&gt;$B$19), 0, $E$8 * $G$8^((A67-$F$8)/12)))</f>
        <v>17.8195242070981</v>
      </c>
      <c r="I67" s="1" t="n">
        <f aca="false">IF(A67&lt;$F$9, 0, IF(AND($B$21=1, A67&gt;$B$19), 0, $E$9 * $G$9^((A67-$F$9)/12)))</f>
        <v>18.8114870820913</v>
      </c>
      <c r="J67" s="1" t="n">
        <f aca="false">IF(A67&lt;$F$10, 0, IF(AND($B$21=1, A67&gt;$B$19), 0, $E$10 * $G$10^((A67-$F$10)/12)))</f>
        <v>17.6193821019847</v>
      </c>
      <c r="K67" s="1" t="n">
        <f aca="false">IF(A67&lt;$F$11, 0, IF(AND($B$21=1, A67&gt;$B$19), 0, $E$11 * $G$11^((A67-$F$11)/12)))</f>
        <v>0</v>
      </c>
      <c r="L67" s="1" t="n">
        <f aca="false">IF(A67&lt;$F$12, 0, IF(AND($B$21=1, A67&gt;$B$19), 0, $E$12 * $G$12^((A67-$F$12)/12)))</f>
        <v>0</v>
      </c>
      <c r="M67" s="1" t="n">
        <f aca="false">IF(A67&lt;$F$13, 0, IF(AND($B$21=1, A67&gt;$B$19), 0, $E$13 * $G$13^((A67-$F$13)/12)))</f>
        <v>0</v>
      </c>
      <c r="N67" s="1" t="n">
        <f aca="false">IF(A67&lt;$F$14, 0, IF(AND($B$21=1, A67&gt;$B$19), 0, $E$14 * $G$14^((A67-$F$14)/12)))</f>
        <v>0</v>
      </c>
      <c r="O67" s="1" t="n">
        <f aca="false">SUM(F67:N67)</f>
        <v>95.3416495873817</v>
      </c>
      <c r="P67" s="1" t="n">
        <f aca="false">O67/12</f>
        <v>7.94513746561514</v>
      </c>
      <c r="Q67" s="1" t="n">
        <f aca="false">P67*$B$8</f>
        <v>0.794513746561514</v>
      </c>
      <c r="R67" s="1" t="n">
        <f aca="false">P67*$B$9</f>
        <v>0.397256873280757</v>
      </c>
      <c r="S67" s="1" t="n">
        <f aca="false">P67*$B$10</f>
        <v>0.476708247936909</v>
      </c>
      <c r="T67" s="1" t="n">
        <f aca="false">P67-Q67-R67-S67-D67-E67</f>
        <v>5.38098267191004</v>
      </c>
      <c r="U67" s="1" t="n">
        <f aca="false">MAX(0, T67 - $B$7*P67)</f>
        <v>0</v>
      </c>
      <c r="V67" s="1" t="n">
        <f aca="false">T67-U67</f>
        <v>5.38098267191004</v>
      </c>
      <c r="W67" s="1" t="n">
        <f aca="false"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>0</v>
      </c>
      <c r="X67" s="1" t="n">
        <f aca="false">V67-W67-C67</f>
        <v>5.38098267191004</v>
      </c>
      <c r="Y67" s="1" t="n">
        <f aca="false">IF(AND(A67&lt;=$F$10, X67&gt;0), X67*$B$23, 0)</f>
        <v>0</v>
      </c>
      <c r="Z67" s="1" t="n">
        <f aca="false">X67-Y67+IF(A67=$F$10+1, MAX(0, SUM(INDEX(Y:Y,31):INDEX(Y:Y,30+$F$10)) - ('1. Press Assumptions'!$D$93*'1. Press Assumptions'!$E$93 - '1. Press Assumptions'!$D$93*0.1154*0.5)), 0)</f>
        <v>5.38098267191004</v>
      </c>
      <c r="AA67" s="1" t="n">
        <f aca="false">IF(AND(A67=$B$19, $B$21=1), O67*$B$20, 0)</f>
        <v>0</v>
      </c>
      <c r="AB67" s="1" t="n">
        <f aca="false">AB66+Z67+AA67</f>
        <v>70.7063871775156</v>
      </c>
    </row>
    <row r="68" customFormat="false" ht="15" hidden="false" customHeight="true" outlineLevel="0" collapsed="false">
      <c r="A68" s="1" t="n">
        <v>38</v>
      </c>
      <c r="B68" s="1" t="n">
        <f aca="false">CEILING(A68/12,1)</f>
        <v>4</v>
      </c>
      <c r="C68" s="1" t="n">
        <f aca="false">IF(A68&lt;=18, $B$15/12, 0)</f>
        <v>0</v>
      </c>
      <c r="D68" s="1" t="n">
        <f aca="false">INDEX('26. Team Comp'!$D$28:$R$28, B68) * 0.001 / 12</f>
        <v>0.636416666666667</v>
      </c>
      <c r="E68" s="1" t="n">
        <f aca="false"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>0.233333333333333</v>
      </c>
      <c r="F68" s="1" t="n">
        <f aca="false">IF(A68&lt;$F$6, 0, IF(AND($B$21=1, A68&gt;$B$19), 0, $E$6 * $G$6^((A68-$F$6)/12)))</f>
        <v>21.618400436289</v>
      </c>
      <c r="G68" s="1" t="n">
        <f aca="false">IF(A68&lt;$F$7, 0, IF(AND($B$21=1, A68&gt;$B$19), 0, $E$7 * $G$7^((A68-$F$7)/12)))</f>
        <v>19.2108367855229</v>
      </c>
      <c r="H68" s="1" t="n">
        <f aca="false">IF(A68&lt;$F$8, 0, IF(AND($B$21=1, A68&gt;$B$19), 0, $E$8 * $G$8^((A68-$F$8)/12)))</f>
        <v>17.5798169116875</v>
      </c>
      <c r="I68" s="1" t="n">
        <f aca="false">IF(A68&lt;$F$9, 0, IF(AND($B$21=1, A68&gt;$B$19), 0, $E$9 * $G$9^((A68-$F$9)/12)))</f>
        <v>18.5584359546485</v>
      </c>
      <c r="J68" s="1" t="n">
        <f aca="false">IF(A68&lt;$F$10, 0, IF(AND($B$21=1, A68&gt;$B$19), 0, $E$10 * $G$10^((A68-$F$10)/12)))</f>
        <v>17.5442298206561</v>
      </c>
      <c r="K68" s="1" t="n">
        <f aca="false">IF(A68&lt;$F$11, 0, IF(AND($B$21=1, A68&gt;$B$19), 0, $E$11 * $G$11^((A68-$F$11)/12)))</f>
        <v>0</v>
      </c>
      <c r="L68" s="1" t="n">
        <f aca="false">IF(A68&lt;$F$12, 0, IF(AND($B$21=1, A68&gt;$B$19), 0, $E$12 * $G$12^((A68-$F$12)/12)))</f>
        <v>0</v>
      </c>
      <c r="M68" s="1" t="n">
        <f aca="false">IF(A68&lt;$F$13, 0, IF(AND($B$21=1, A68&gt;$B$19), 0, $E$13 * $G$13^((A68-$F$13)/12)))</f>
        <v>0</v>
      </c>
      <c r="N68" s="1" t="n">
        <f aca="false">IF(A68&lt;$F$14, 0, IF(AND($B$21=1, A68&gt;$B$19), 0, $E$14 * $G$14^((A68-$F$14)/12)))</f>
        <v>0</v>
      </c>
      <c r="O68" s="1" t="n">
        <f aca="false">SUM(F68:N68)</f>
        <v>94.5117199088041</v>
      </c>
      <c r="P68" s="1" t="n">
        <f aca="false">O68/12</f>
        <v>7.87597665906701</v>
      </c>
      <c r="Q68" s="1" t="n">
        <f aca="false">P68*$B$8</f>
        <v>0.787597665906701</v>
      </c>
      <c r="R68" s="1" t="n">
        <f aca="false">P68*$B$9</f>
        <v>0.393798832953351</v>
      </c>
      <c r="S68" s="1" t="n">
        <f aca="false">P68*$B$10</f>
        <v>0.472558599544021</v>
      </c>
      <c r="T68" s="1" t="n">
        <f aca="false">P68-Q68-R68-S68-D68-E68</f>
        <v>5.35227156066294</v>
      </c>
      <c r="U68" s="1" t="n">
        <f aca="false">MAX(0, T68 - $B$7*P68)</f>
        <v>0</v>
      </c>
      <c r="V68" s="1" t="n">
        <f aca="false">T68-U68</f>
        <v>5.35227156066294</v>
      </c>
      <c r="W68" s="1" t="n">
        <f aca="false"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>0</v>
      </c>
      <c r="X68" s="1" t="n">
        <f aca="false">V68-W68-C68</f>
        <v>5.35227156066294</v>
      </c>
      <c r="Y68" s="1" t="n">
        <f aca="false">IF(AND(A68&lt;=$F$10, X68&gt;0), X68*$B$23, 0)</f>
        <v>0</v>
      </c>
      <c r="Z68" s="1" t="n">
        <f aca="false">X68-Y68+IF(A68=$F$10+1, MAX(0, SUM(INDEX(Y:Y,31):INDEX(Y:Y,30+$F$10)) - ('1. Press Assumptions'!$D$93*'1. Press Assumptions'!$E$93 - '1. Press Assumptions'!$D$93*0.1154*0.5)), 0)</f>
        <v>5.35227156066294</v>
      </c>
      <c r="AA68" s="1" t="n">
        <f aca="false">IF(AND(A68=$B$19, $B$21=1), O68*$B$20, 0)</f>
        <v>0</v>
      </c>
      <c r="AB68" s="1" t="n">
        <f aca="false">AB67+Z68+AA68</f>
        <v>76.0586587381785</v>
      </c>
    </row>
    <row r="69" customFormat="false" ht="15" hidden="false" customHeight="true" outlineLevel="0" collapsed="false">
      <c r="A69" s="1" t="n">
        <v>39</v>
      </c>
      <c r="B69" s="1" t="n">
        <f aca="false">CEILING(A69/12,1)</f>
        <v>4</v>
      </c>
      <c r="C69" s="1" t="n">
        <f aca="false">IF(A69&lt;=18, $B$15/12, 0)</f>
        <v>0</v>
      </c>
      <c r="D69" s="1" t="n">
        <f aca="false">INDEX('26. Team Comp'!$D$28:$R$28, B69) * 0.001 / 12</f>
        <v>0.636416666666667</v>
      </c>
      <c r="E69" s="1" t="n">
        <f aca="false"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>0.207407407407407</v>
      </c>
      <c r="F69" s="1" t="n">
        <f aca="false">IF(A69&lt;$F$6, 0, IF(AND($B$21=1, A69&gt;$B$19), 0, $E$6 * $G$6^((A69-$F$6)/12)))</f>
        <v>21.5261910669673</v>
      </c>
      <c r="G69" s="1" t="n">
        <f aca="false">IF(A69&lt;$F$7, 0, IF(AND($B$21=1, A69&gt;$B$19), 0, $E$7 * $G$7^((A69-$F$7)/12)))</f>
        <v>19.0429031242297</v>
      </c>
      <c r="H69" s="1" t="n">
        <f aca="false">IF(A69&lt;$F$8, 0, IF(AND($B$21=1, A69&gt;$B$19), 0, $E$8 * $G$8^((A69-$F$8)/12)))</f>
        <v>17.3433341461131</v>
      </c>
      <c r="I69" s="1" t="n">
        <f aca="false">IF(A69&lt;$F$9, 0, IF(AND($B$21=1, A69&gt;$B$19), 0, $E$9 * $G$9^((A69-$F$9)/12)))</f>
        <v>18.3087888575634</v>
      </c>
      <c r="J69" s="1" t="n">
        <f aca="false">IF(A69&lt;$F$10, 0, IF(AND($B$21=1, A69&gt;$B$19), 0, $E$10 * $G$10^((A69-$F$10)/12)))</f>
        <v>17.4693980877643</v>
      </c>
      <c r="K69" s="1" t="n">
        <f aca="false">IF(A69&lt;$F$11, 0, IF(AND($B$21=1, A69&gt;$B$19), 0, $E$11 * $G$11^((A69-$F$11)/12)))</f>
        <v>0</v>
      </c>
      <c r="L69" s="1" t="n">
        <f aca="false">IF(A69&lt;$F$12, 0, IF(AND($B$21=1, A69&gt;$B$19), 0, $E$12 * $G$12^((A69-$F$12)/12)))</f>
        <v>0</v>
      </c>
      <c r="M69" s="1" t="n">
        <f aca="false">IF(A69&lt;$F$13, 0, IF(AND($B$21=1, A69&gt;$B$19), 0, $E$13 * $G$13^((A69-$F$13)/12)))</f>
        <v>0</v>
      </c>
      <c r="N69" s="1" t="n">
        <f aca="false">IF(A69&lt;$F$14, 0, IF(AND($B$21=1, A69&gt;$B$19), 0, $E$14 * $G$14^((A69-$F$14)/12)))</f>
        <v>0</v>
      </c>
      <c r="O69" s="1" t="n">
        <f aca="false">SUM(F69:N69)</f>
        <v>93.6906152826378</v>
      </c>
      <c r="P69" s="1" t="n">
        <f aca="false">O69/12</f>
        <v>7.80755127355315</v>
      </c>
      <c r="Q69" s="1" t="n">
        <f aca="false">P69*$B$8</f>
        <v>0.780755127355315</v>
      </c>
      <c r="R69" s="1" t="n">
        <f aca="false">P69*$B$9</f>
        <v>0.390377563677658</v>
      </c>
      <c r="S69" s="1" t="n">
        <f aca="false">P69*$B$10</f>
        <v>0.468453076413189</v>
      </c>
      <c r="T69" s="1" t="n">
        <f aca="false">P69-Q69-R69-S69-D69-E69</f>
        <v>5.32414143203292</v>
      </c>
      <c r="U69" s="1" t="n">
        <f aca="false">MAX(0, T69 - $B$7*P69)</f>
        <v>0</v>
      </c>
      <c r="V69" s="1" t="n">
        <f aca="false">T69-U69</f>
        <v>5.32414143203292</v>
      </c>
      <c r="W69" s="1" t="n">
        <f aca="false"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>0</v>
      </c>
      <c r="X69" s="1" t="n">
        <f aca="false">V69-W69-C69</f>
        <v>5.32414143203292</v>
      </c>
      <c r="Y69" s="1" t="n">
        <f aca="false">IF(AND(A69&lt;=$F$10, X69&gt;0), X69*$B$23, 0)</f>
        <v>0</v>
      </c>
      <c r="Z69" s="1" t="n">
        <f aca="false">X69-Y69+IF(A69=$F$10+1, MAX(0, SUM(INDEX(Y:Y,31):INDEX(Y:Y,30+$F$10)) - ('1. Press Assumptions'!$D$93*'1. Press Assumptions'!$E$93 - '1. Press Assumptions'!$D$93*0.1154*0.5)), 0)</f>
        <v>5.32414143203292</v>
      </c>
      <c r="AA69" s="1" t="n">
        <f aca="false">IF(AND(A69=$B$19, $B$21=1), O69*$B$20, 0)</f>
        <v>0</v>
      </c>
      <c r="AB69" s="1" t="n">
        <f aca="false">AB68+Z69+AA69</f>
        <v>81.3828001702114</v>
      </c>
    </row>
    <row r="70" customFormat="false" ht="15" hidden="false" customHeight="true" outlineLevel="0" collapsed="false">
      <c r="A70" s="1" t="n">
        <v>40</v>
      </c>
      <c r="B70" s="1" t="n">
        <f aca="false">CEILING(A70/12,1)</f>
        <v>4</v>
      </c>
      <c r="C70" s="1" t="n">
        <f aca="false">IF(A70&lt;=18, $B$15/12, 0)</f>
        <v>0</v>
      </c>
      <c r="D70" s="1" t="n">
        <f aca="false">INDEX('26. Team Comp'!$D$28:$R$28, B70) * 0.001 / 12</f>
        <v>0.636416666666667</v>
      </c>
      <c r="E70" s="1" t="n">
        <f aca="false"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>0.194444444444444</v>
      </c>
      <c r="F70" s="1" t="n">
        <f aca="false">IF(A70&lt;$F$6, 0, IF(AND($B$21=1, A70&gt;$B$19), 0, $E$6 * $G$6^((A70-$F$6)/12)))</f>
        <v>21.434375</v>
      </c>
      <c r="G70" s="1" t="n">
        <f aca="false">IF(A70&lt;$F$7, 0, IF(AND($B$21=1, A70&gt;$B$19), 0, $E$7 * $G$7^((A70-$F$7)/12)))</f>
        <v>18.8764374736697</v>
      </c>
      <c r="H70" s="1" t="n">
        <f aca="false">IF(A70&lt;$F$8, 0, IF(AND($B$21=1, A70&gt;$B$19), 0, $E$8 * $G$8^((A70-$F$8)/12)))</f>
        <v>17.1100325341705</v>
      </c>
      <c r="I70" s="1" t="n">
        <f aca="false">IF(A70&lt;$F$9, 0, IF(AND($B$21=1, A70&gt;$B$19), 0, $E$9 * $G$9^((A70-$F$9)/12)))</f>
        <v>18.0625</v>
      </c>
      <c r="J70" s="1" t="n">
        <f aca="false">IF(A70&lt;$F$10, 0, IF(AND($B$21=1, A70&gt;$B$19), 0, $E$10 * $G$10^((A70-$F$10)/12)))</f>
        <v>17.3948855360678</v>
      </c>
      <c r="K70" s="1" t="n">
        <f aca="false">IF(A70&lt;$F$11, 0, IF(AND($B$21=1, A70&gt;$B$19), 0, $E$11 * $G$11^((A70-$F$11)/12)))</f>
        <v>0</v>
      </c>
      <c r="L70" s="1" t="n">
        <f aca="false">IF(A70&lt;$F$12, 0, IF(AND($B$21=1, A70&gt;$B$19), 0, $E$12 * $G$12^((A70-$F$12)/12)))</f>
        <v>0</v>
      </c>
      <c r="M70" s="1" t="n">
        <f aca="false">IF(A70&lt;$F$13, 0, IF(AND($B$21=1, A70&gt;$B$19), 0, $E$13 * $G$13^((A70-$F$13)/12)))</f>
        <v>0</v>
      </c>
      <c r="N70" s="1" t="n">
        <f aca="false">IF(A70&lt;$F$14, 0, IF(AND($B$21=1, A70&gt;$B$19), 0, $E$14 * $G$14^((A70-$F$14)/12)))</f>
        <v>0</v>
      </c>
      <c r="O70" s="1" t="n">
        <f aca="false">SUM(F70:N70)</f>
        <v>92.878230543908</v>
      </c>
      <c r="P70" s="1" t="n">
        <f aca="false">O70/12</f>
        <v>7.73985254532567</v>
      </c>
      <c r="Q70" s="1" t="n">
        <f aca="false">P70*$B$8</f>
        <v>0.773985254532567</v>
      </c>
      <c r="R70" s="1" t="n">
        <f aca="false">P70*$B$9</f>
        <v>0.386992627266283</v>
      </c>
      <c r="S70" s="1" t="n">
        <f aca="false">P70*$B$10</f>
        <v>0.46439115271954</v>
      </c>
      <c r="T70" s="1" t="n">
        <f aca="false">P70-Q70-R70-S70-D70-E70</f>
        <v>5.28362239969616</v>
      </c>
      <c r="U70" s="1" t="n">
        <f aca="false">MAX(0, T70 - $B$7*P70)</f>
        <v>0</v>
      </c>
      <c r="V70" s="1" t="n">
        <f aca="false">T70-U70</f>
        <v>5.28362239969616</v>
      </c>
      <c r="W70" s="1" t="n">
        <f aca="false"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>0</v>
      </c>
      <c r="X70" s="1" t="n">
        <f aca="false">V70-W70-C70</f>
        <v>5.28362239969616</v>
      </c>
      <c r="Y70" s="1" t="n">
        <f aca="false">IF(AND(A70&lt;=$F$10, X70&gt;0), X70*$B$23, 0)</f>
        <v>0</v>
      </c>
      <c r="Z70" s="1" t="n">
        <f aca="false">X70-Y70+IF(A70=$F$10+1, MAX(0, SUM(INDEX(Y:Y,31):INDEX(Y:Y,30+$F$10)) - ('1. Press Assumptions'!$D$93*'1. Press Assumptions'!$E$93 - '1. Press Assumptions'!$D$93*0.1154*0.5)), 0)</f>
        <v>5.28362239969616</v>
      </c>
      <c r="AA70" s="1" t="n">
        <f aca="false">IF(AND(A70=$B$19, $B$21=1), O70*$B$20, 0)</f>
        <v>0</v>
      </c>
      <c r="AB70" s="1" t="n">
        <f aca="false">AB69+Z70+AA70</f>
        <v>86.6664225699076</v>
      </c>
    </row>
    <row r="71" customFormat="false" ht="15" hidden="false" customHeight="true" outlineLevel="0" collapsed="false">
      <c r="A71" s="1" t="n">
        <v>41</v>
      </c>
      <c r="B71" s="1" t="n">
        <f aca="false">CEILING(A71/12,1)</f>
        <v>4</v>
      </c>
      <c r="C71" s="1" t="n">
        <f aca="false">IF(A71&lt;=18, $B$15/12, 0)</f>
        <v>0</v>
      </c>
      <c r="D71" s="1" t="n">
        <f aca="false">INDEX('26. Team Comp'!$D$28:$R$28, B71) * 0.001 / 12</f>
        <v>0.636416666666667</v>
      </c>
      <c r="E71" s="1" t="n">
        <f aca="false"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>0.181481481481482</v>
      </c>
      <c r="F71" s="1" t="n">
        <f aca="false">IF(A71&lt;$F$6, 0, IF(AND($B$21=1, A71&gt;$B$19), 0, $E$6 * $G$6^((A71-$F$6)/12)))</f>
        <v>21.3429505578272</v>
      </c>
      <c r="G71" s="1" t="n">
        <f aca="false">IF(A71&lt;$F$7, 0, IF(AND($B$21=1, A71&gt;$B$19), 0, $E$7 * $G$7^((A71-$F$7)/12)))</f>
        <v>18.7114270010642</v>
      </c>
      <c r="H71" s="1" t="n">
        <f aca="false">IF(A71&lt;$F$8, 0, IF(AND($B$21=1, A71&gt;$B$19), 0, $E$8 * $G$8^((A71-$F$8)/12)))</f>
        <v>16.8798692831495</v>
      </c>
      <c r="I71" s="1" t="n">
        <f aca="false">IF(A71&lt;$F$9, 0, IF(AND($B$21=1, A71&gt;$B$19), 0, $E$9 * $G$9^((A71-$F$9)/12)))</f>
        <v>17.8195242070981</v>
      </c>
      <c r="J71" s="1" t="n">
        <f aca="false">IF(A71&lt;$F$10, 0, IF(AND($B$21=1, A71&gt;$B$19), 0, $E$10 * $G$10^((A71-$F$10)/12)))</f>
        <v>17.3206908041573</v>
      </c>
      <c r="K71" s="1" t="n">
        <f aca="false">IF(A71&lt;$F$11, 0, IF(AND($B$21=1, A71&gt;$B$19), 0, $E$11 * $G$11^((A71-$F$11)/12)))</f>
        <v>0</v>
      </c>
      <c r="L71" s="1" t="n">
        <f aca="false">IF(A71&lt;$F$12, 0, IF(AND($B$21=1, A71&gt;$B$19), 0, $E$12 * $G$12^((A71-$F$12)/12)))</f>
        <v>0</v>
      </c>
      <c r="M71" s="1" t="n">
        <f aca="false">IF(A71&lt;$F$13, 0, IF(AND($B$21=1, A71&gt;$B$19), 0, $E$13 * $G$13^((A71-$F$13)/12)))</f>
        <v>0</v>
      </c>
      <c r="N71" s="1" t="n">
        <f aca="false">IF(A71&lt;$F$14, 0, IF(AND($B$21=1, A71&gt;$B$19), 0, $E$14 * $G$14^((A71-$F$14)/12)))</f>
        <v>0</v>
      </c>
      <c r="O71" s="1" t="n">
        <f aca="false">SUM(F71:N71)</f>
        <v>92.0744618532964</v>
      </c>
      <c r="P71" s="1" t="n">
        <f aca="false">O71/12</f>
        <v>7.67287182110803</v>
      </c>
      <c r="Q71" s="1" t="n">
        <f aca="false">P71*$B$8</f>
        <v>0.767287182110803</v>
      </c>
      <c r="R71" s="1" t="n">
        <f aca="false">P71*$B$9</f>
        <v>0.383643591055401</v>
      </c>
      <c r="S71" s="1" t="n">
        <f aca="false">P71*$B$10</f>
        <v>0.460372309266482</v>
      </c>
      <c r="T71" s="1" t="n">
        <f aca="false">P71-Q71-R71-S71-D71-E71</f>
        <v>5.2436705905272</v>
      </c>
      <c r="U71" s="1" t="n">
        <f aca="false">MAX(0, T71 - $B$7*P71)</f>
        <v>0</v>
      </c>
      <c r="V71" s="1" t="n">
        <f aca="false">T71-U71</f>
        <v>5.2436705905272</v>
      </c>
      <c r="W71" s="1" t="n">
        <f aca="false"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>0</v>
      </c>
      <c r="X71" s="1" t="n">
        <f aca="false">V71-W71-C71</f>
        <v>5.2436705905272</v>
      </c>
      <c r="Y71" s="1" t="n">
        <f aca="false">IF(AND(A71&lt;=$F$10, X71&gt;0), X71*$B$23, 0)</f>
        <v>0</v>
      </c>
      <c r="Z71" s="1" t="n">
        <f aca="false">X71-Y71+IF(A71=$F$10+1, MAX(0, SUM(INDEX(Y:Y,31):INDEX(Y:Y,30+$F$10)) - ('1. Press Assumptions'!$D$93*'1. Press Assumptions'!$E$93 - '1. Press Assumptions'!$D$93*0.1154*0.5)), 0)</f>
        <v>5.2436705905272</v>
      </c>
      <c r="AA71" s="1" t="n">
        <f aca="false">IF(AND(A71=$B$19, $B$21=1), O71*$B$20, 0)</f>
        <v>0</v>
      </c>
      <c r="AB71" s="1" t="n">
        <f aca="false">AB70+Z71+AA71</f>
        <v>91.9100931604348</v>
      </c>
    </row>
    <row r="72" customFormat="false" ht="15" hidden="false" customHeight="true" outlineLevel="0" collapsed="false">
      <c r="A72" s="1" t="n">
        <v>42</v>
      </c>
      <c r="B72" s="1" t="n">
        <f aca="false">CEILING(A72/12,1)</f>
        <v>4</v>
      </c>
      <c r="C72" s="1" t="n">
        <f aca="false">IF(A72&lt;=18, $B$15/12, 0)</f>
        <v>0</v>
      </c>
      <c r="D72" s="1" t="n">
        <f aca="false">INDEX('26. Team Comp'!$D$28:$R$28, B72) * 0.001 / 12</f>
        <v>0.636416666666667</v>
      </c>
      <c r="E72" s="1" t="n">
        <f aca="false"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>0.168518518518519</v>
      </c>
      <c r="F72" s="1" t="n">
        <f aca="false">IF(A72&lt;$F$6, 0, IF(AND($B$21=1, A72&gt;$B$19), 0, $E$6 * $G$6^((A72-$F$6)/12)))</f>
        <v>21.2519160700444</v>
      </c>
      <c r="G72" s="1" t="n">
        <f aca="false">IF(A72&lt;$F$7, 0, IF(AND($B$21=1, A72&gt;$B$19), 0, $E$7 * $G$7^((A72-$F$7)/12)))</f>
        <v>18.5478589858137</v>
      </c>
      <c r="H72" s="1" t="n">
        <f aca="false">IF(A72&lt;$F$8, 0, IF(AND($B$21=1, A72&gt;$B$19), 0, $E$8 * $G$8^((A72-$F$8)/12)))</f>
        <v>16.6528021759853</v>
      </c>
      <c r="I72" s="1" t="n">
        <f aca="false">IF(A72&lt;$F$9, 0, IF(AND($B$21=1, A72&gt;$B$19), 0, $E$9 * $G$9^((A72-$F$9)/12)))</f>
        <v>17.5798169116875</v>
      </c>
      <c r="J72" s="1" t="n">
        <f aca="false">IF(A72&lt;$F$10, 0, IF(AND($B$21=1, A72&gt;$B$19), 0, $E$10 * $G$10^((A72-$F$10)/12)))</f>
        <v>17.24681253643</v>
      </c>
      <c r="K72" s="1" t="n">
        <f aca="false">IF(A72&lt;$F$11, 0, IF(AND($B$21=1, A72&gt;$B$19), 0, $E$11 * $G$11^((A72-$F$11)/12)))</f>
        <v>0</v>
      </c>
      <c r="L72" s="1" t="n">
        <f aca="false">IF(A72&lt;$F$12, 0, IF(AND($B$21=1, A72&gt;$B$19), 0, $E$12 * $G$12^((A72-$F$12)/12)))</f>
        <v>0</v>
      </c>
      <c r="M72" s="1" t="n">
        <f aca="false">IF(A72&lt;$F$13, 0, IF(AND($B$21=1, A72&gt;$B$19), 0, $E$13 * $G$13^((A72-$F$13)/12)))</f>
        <v>0</v>
      </c>
      <c r="N72" s="1" t="n">
        <f aca="false">IF(A72&lt;$F$14, 0, IF(AND($B$21=1, A72&gt;$B$19), 0, $E$14 * $G$14^((A72-$F$14)/12)))</f>
        <v>0</v>
      </c>
      <c r="O72" s="1" t="n">
        <f aca="false">SUM(F72:N72)</f>
        <v>91.2792066799609</v>
      </c>
      <c r="P72" s="1" t="n">
        <f aca="false">O72/12</f>
        <v>7.60660055666341</v>
      </c>
      <c r="Q72" s="1" t="n">
        <f aca="false">P72*$B$8</f>
        <v>0.760660055666341</v>
      </c>
      <c r="R72" s="1" t="n">
        <f aca="false">P72*$B$9</f>
        <v>0.38033002783317</v>
      </c>
      <c r="S72" s="1" t="n">
        <f aca="false">P72*$B$10</f>
        <v>0.456396033399804</v>
      </c>
      <c r="T72" s="1" t="n">
        <f aca="false">P72-Q72-R72-S72-D72-E72</f>
        <v>5.20427925457891</v>
      </c>
      <c r="U72" s="1" t="n">
        <f aca="false">MAX(0, T72 - $B$7*P72)</f>
        <v>0</v>
      </c>
      <c r="V72" s="1" t="n">
        <f aca="false">T72-U72</f>
        <v>5.20427925457891</v>
      </c>
      <c r="W72" s="1" t="n">
        <f aca="false"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>0</v>
      </c>
      <c r="X72" s="1" t="n">
        <f aca="false">V72-W72-C72</f>
        <v>5.20427925457891</v>
      </c>
      <c r="Y72" s="1" t="n">
        <f aca="false">IF(AND(A72&lt;=$F$10, X72&gt;0), X72*$B$23, 0)</f>
        <v>0</v>
      </c>
      <c r="Z72" s="1" t="n">
        <f aca="false">X72-Y72+IF(A72=$F$10+1, MAX(0, SUM(INDEX(Y:Y,31):INDEX(Y:Y,30+$F$10)) - ('1. Press Assumptions'!$D$93*'1. Press Assumptions'!$E$93 - '1. Press Assumptions'!$D$93*0.1154*0.5)), 0)</f>
        <v>5.20427925457891</v>
      </c>
      <c r="AA72" s="1" t="n">
        <f aca="false">IF(AND(A72=$B$19, $B$21=1), O72*$B$20, 0)</f>
        <v>0</v>
      </c>
      <c r="AB72" s="1" t="n">
        <f aca="false">AB71+Z72+AA72</f>
        <v>97.1143724150137</v>
      </c>
    </row>
    <row r="73" customFormat="false" ht="15" hidden="false" customHeight="true" outlineLevel="0" collapsed="false">
      <c r="A73" s="1" t="n">
        <v>43</v>
      </c>
      <c r="B73" s="1" t="n">
        <f aca="false">CEILING(A73/12,1)</f>
        <v>4</v>
      </c>
      <c r="C73" s="1" t="n">
        <f aca="false">IF(A73&lt;=18, $B$15/12, 0)</f>
        <v>0</v>
      </c>
      <c r="D73" s="1" t="n">
        <f aca="false">INDEX('26. Team Comp'!$D$28:$R$28, B73) * 0.001 / 12</f>
        <v>0.636416666666667</v>
      </c>
      <c r="E73" s="1" t="n">
        <f aca="false"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>0.155555555555556</v>
      </c>
      <c r="F73" s="1" t="n">
        <f aca="false">IF(A73&lt;$F$6, 0, IF(AND($B$21=1, A73&gt;$B$19), 0, $E$6 * $G$6^((A73-$F$6)/12)))</f>
        <v>21.1612698733717</v>
      </c>
      <c r="G73" s="1" t="n">
        <f aca="false">IF(A73&lt;$F$7, 0, IF(AND($B$21=1, A73&gt;$B$19), 0, $E$7 * $G$7^((A73-$F$7)/12)))</f>
        <v>18.3857208185171</v>
      </c>
      <c r="H73" s="1" t="n">
        <f aca="false">IF(A73&lt;$F$8, 0, IF(AND($B$21=1, A73&gt;$B$19), 0, $E$8 * $G$8^((A73-$F$8)/12)))</f>
        <v>16.4287895635148</v>
      </c>
      <c r="I73" s="1" t="n">
        <f aca="false">IF(A73&lt;$F$9, 0, IF(AND($B$21=1, A73&gt;$B$19), 0, $E$9 * $G$9^((A73-$F$9)/12)))</f>
        <v>17.3433341461131</v>
      </c>
      <c r="J73" s="1" t="n">
        <f aca="false">IF(A73&lt;$F$10, 0, IF(AND($B$21=1, A73&gt;$B$19), 0, $E$10 * $G$10^((A73-$F$10)/12)))</f>
        <v>17.1732493830653</v>
      </c>
      <c r="K73" s="1" t="n">
        <f aca="false">IF(A73&lt;$F$11, 0, IF(AND($B$21=1, A73&gt;$B$19), 0, $E$11 * $G$11^((A73-$F$11)/12)))</f>
        <v>0</v>
      </c>
      <c r="L73" s="1" t="n">
        <f aca="false">IF(A73&lt;$F$12, 0, IF(AND($B$21=1, A73&gt;$B$19), 0, $E$12 * $G$12^((A73-$F$12)/12)))</f>
        <v>0</v>
      </c>
      <c r="M73" s="1" t="n">
        <f aca="false">IF(A73&lt;$F$13, 0, IF(AND($B$21=1, A73&gt;$B$19), 0, $E$13 * $G$13^((A73-$F$13)/12)))</f>
        <v>0</v>
      </c>
      <c r="N73" s="1" t="n">
        <f aca="false">IF(A73&lt;$F$14, 0, IF(AND($B$21=1, A73&gt;$B$19), 0, $E$14 * $G$14^((A73-$F$14)/12)))</f>
        <v>0</v>
      </c>
      <c r="O73" s="1" t="n">
        <f aca="false">SUM(F73:N73)</f>
        <v>90.4923637845821</v>
      </c>
      <c r="P73" s="1" t="n">
        <f aca="false">O73/12</f>
        <v>7.54103031538184</v>
      </c>
      <c r="Q73" s="1" t="n">
        <f aca="false">P73*$B$8</f>
        <v>0.754103031538184</v>
      </c>
      <c r="R73" s="1" t="n">
        <f aca="false">P73*$B$9</f>
        <v>0.377051515769092</v>
      </c>
      <c r="S73" s="1" t="n">
        <f aca="false">P73*$B$10</f>
        <v>0.45246181892291</v>
      </c>
      <c r="T73" s="1" t="n">
        <f aca="false">P73-Q73-R73-S73-D73-E73</f>
        <v>5.16544172692943</v>
      </c>
      <c r="U73" s="1" t="n">
        <f aca="false">MAX(0, T73 - $B$7*P73)</f>
        <v>0</v>
      </c>
      <c r="V73" s="1" t="n">
        <f aca="false">T73-U73</f>
        <v>5.16544172692943</v>
      </c>
      <c r="W73" s="1" t="n">
        <f aca="false"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>0</v>
      </c>
      <c r="X73" s="1" t="n">
        <f aca="false">V73-W73-C73</f>
        <v>5.16544172692943</v>
      </c>
      <c r="Y73" s="1" t="n">
        <f aca="false">IF(AND(A73&lt;=$F$10, X73&gt;0), X73*$B$23, 0)</f>
        <v>0</v>
      </c>
      <c r="Z73" s="1" t="n">
        <f aca="false">X73-Y73+IF(A73=$F$10+1, MAX(0, SUM(INDEX(Y:Y,31):INDEX(Y:Y,30+$F$10)) - ('1. Press Assumptions'!$D$93*'1. Press Assumptions'!$E$93 - '1. Press Assumptions'!$D$93*0.1154*0.5)), 0)</f>
        <v>5.16544172692943</v>
      </c>
      <c r="AA73" s="1" t="n">
        <f aca="false">IF(AND(A73=$B$19, $B$21=1), O73*$B$20, 0)</f>
        <v>0</v>
      </c>
      <c r="AB73" s="1" t="n">
        <f aca="false">AB72+Z73+AA73</f>
        <v>102.279814141943</v>
      </c>
    </row>
    <row r="74" customFormat="false" ht="15" hidden="false" customHeight="true" outlineLevel="0" collapsed="false">
      <c r="A74" s="1" t="n">
        <v>44</v>
      </c>
      <c r="B74" s="1" t="n">
        <f aca="false">CEILING(A74/12,1)</f>
        <v>4</v>
      </c>
      <c r="C74" s="1" t="n">
        <f aca="false">IF(A74&lt;=18, $B$15/12, 0)</f>
        <v>0</v>
      </c>
      <c r="D74" s="1" t="n">
        <f aca="false">INDEX('26. Team Comp'!$D$28:$R$28, B74) * 0.001 / 12</f>
        <v>0.636416666666667</v>
      </c>
      <c r="E74" s="1" t="n">
        <f aca="false"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>0.142592592592593</v>
      </c>
      <c r="F74" s="1" t="n">
        <f aca="false">IF(A74&lt;$F$6, 0, IF(AND($B$21=1, A74&gt;$B$19), 0, $E$6 * $G$6^((A74-$F$6)/12)))</f>
        <v>21.0710103116237</v>
      </c>
      <c r="G74" s="1" t="n">
        <f aca="false">IF(A74&lt;$F$7, 0, IF(AND($B$21=1, A74&gt;$B$19), 0, $E$7 * $G$7^((A74-$F$7)/12)))</f>
        <v>18.225</v>
      </c>
      <c r="H74" s="1" t="n">
        <f aca="false">IF(A74&lt;$F$8, 0, IF(AND($B$21=1, A74&gt;$B$19), 0, $E$8 * $G$8^((A74-$F$8)/12)))</f>
        <v>16.2077903568372</v>
      </c>
      <c r="I74" s="1" t="n">
        <f aca="false">IF(A74&lt;$F$9, 0, IF(AND($B$21=1, A74&gt;$B$19), 0, $E$9 * $G$9^((A74-$F$9)/12)))</f>
        <v>17.1100325341705</v>
      </c>
      <c r="J74" s="1" t="n">
        <f aca="false">IF(A74&lt;$F$10, 0, IF(AND($B$21=1, A74&gt;$B$19), 0, $E$10 * $G$10^((A74-$F$10)/12)))</f>
        <v>17.1</v>
      </c>
      <c r="K74" s="1" t="n">
        <f aca="false">IF(A74&lt;$F$11, 0, IF(AND($B$21=1, A74&gt;$B$19), 0, $E$11 * $G$11^((A74-$F$11)/12)))</f>
        <v>0</v>
      </c>
      <c r="L74" s="1" t="n">
        <f aca="false">IF(A74&lt;$F$12, 0, IF(AND($B$21=1, A74&gt;$B$19), 0, $E$12 * $G$12^((A74-$F$12)/12)))</f>
        <v>0</v>
      </c>
      <c r="M74" s="1" t="n">
        <f aca="false">IF(A74&lt;$F$13, 0, IF(AND($B$21=1, A74&gt;$B$19), 0, $E$13 * $G$13^((A74-$F$13)/12)))</f>
        <v>0</v>
      </c>
      <c r="N74" s="1" t="n">
        <f aca="false">IF(A74&lt;$F$14, 0, IF(AND($B$21=1, A74&gt;$B$19), 0, $E$14 * $G$14^((A74-$F$14)/12)))</f>
        <v>0</v>
      </c>
      <c r="O74" s="1" t="n">
        <f aca="false">SUM(F74:N74)</f>
        <v>89.7138332026315</v>
      </c>
      <c r="P74" s="1" t="n">
        <f aca="false">O74/12</f>
        <v>7.47615276688596</v>
      </c>
      <c r="Q74" s="1" t="n">
        <f aca="false">P74*$B$8</f>
        <v>0.747615276688596</v>
      </c>
      <c r="R74" s="1" t="n">
        <f aca="false">P74*$B$9</f>
        <v>0.373807638344298</v>
      </c>
      <c r="S74" s="1" t="n">
        <f aca="false">P74*$B$10</f>
        <v>0.448569166013157</v>
      </c>
      <c r="T74" s="1" t="n">
        <f aca="false">P74-Q74-R74-S74-D74-E74</f>
        <v>5.12715142658065</v>
      </c>
      <c r="U74" s="1" t="n">
        <f aca="false">MAX(0, T74 - $B$7*P74)</f>
        <v>0</v>
      </c>
      <c r="V74" s="1" t="n">
        <f aca="false">T74-U74</f>
        <v>5.12715142658065</v>
      </c>
      <c r="W74" s="1" t="n">
        <f aca="false"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>0</v>
      </c>
      <c r="X74" s="1" t="n">
        <f aca="false">V74-W74-C74</f>
        <v>5.12715142658065</v>
      </c>
      <c r="Y74" s="1" t="n">
        <f aca="false">IF(AND(A74&lt;=$F$10, X74&gt;0), X74*$B$23, 0)</f>
        <v>0</v>
      </c>
      <c r="Z74" s="1" t="n">
        <f aca="false">X74-Y74+IF(A74=$F$10+1, MAX(0, SUM(INDEX(Y:Y,31):INDEX(Y:Y,30+$F$10)) - ('1. Press Assumptions'!$D$93*'1. Press Assumptions'!$E$93 - '1. Press Assumptions'!$D$93*0.1154*0.5)), 0)</f>
        <v>5.12715142658065</v>
      </c>
      <c r="AA74" s="1" t="n">
        <f aca="false">IF(AND(A74=$B$19, $B$21=1), O74*$B$20, 0)</f>
        <v>0</v>
      </c>
      <c r="AB74" s="1" t="n">
        <f aca="false">AB73+Z74+AA74</f>
        <v>107.406965568524</v>
      </c>
    </row>
    <row r="75" customFormat="false" ht="15" hidden="false" customHeight="true" outlineLevel="0" collapsed="false">
      <c r="A75" s="1" t="n">
        <v>45</v>
      </c>
      <c r="B75" s="1" t="n">
        <f aca="false">CEILING(A75/12,1)</f>
        <v>4</v>
      </c>
      <c r="C75" s="1" t="n">
        <f aca="false">IF(A75&lt;=18, $B$15/12, 0)</f>
        <v>0</v>
      </c>
      <c r="D75" s="1" t="n">
        <f aca="false">INDEX('26. Team Comp'!$D$28:$R$28, B75) * 0.001 / 12</f>
        <v>0.636416666666667</v>
      </c>
      <c r="E75" s="1" t="n">
        <f aca="false"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>0.12962962962963</v>
      </c>
      <c r="F75" s="1" t="n">
        <f aca="false">IF(A75&lt;$F$6, 0, IF(AND($B$21=1, A75&gt;$B$19), 0, $E$6 * $G$6^((A75-$F$6)/12)))</f>
        <v>20.9811357356794</v>
      </c>
      <c r="G75" s="1" t="n">
        <f aca="false">IF(A75&lt;$F$7, 0, IF(AND($B$21=1, A75&gt;$B$19), 0, $E$7 * $G$7^((A75-$F$7)/12)))</f>
        <v>18.0656841403507</v>
      </c>
      <c r="H75" s="1" t="n">
        <f aca="false">IF(A75&lt;$F$8, 0, IF(AND($B$21=1, A75&gt;$B$19), 0, $E$8 * $G$8^((A75-$F$8)/12)))</f>
        <v>15.9897640197776</v>
      </c>
      <c r="I75" s="1" t="n">
        <f aca="false">IF(A75&lt;$F$9, 0, IF(AND($B$21=1, A75&gt;$B$19), 0, $E$9 * $G$9^((A75-$F$9)/12)))</f>
        <v>16.8798692831495</v>
      </c>
      <c r="J75" s="1" t="n">
        <f aca="false">IF(A75&lt;$F$10, 0, IF(AND($B$21=1, A75&gt;$B$19), 0, $E$10 * $G$10^((A75-$F$10)/12)))</f>
        <v>17.0270630489037</v>
      </c>
      <c r="K75" s="1" t="n">
        <f aca="false">IF(A75&lt;$F$11, 0, IF(AND($B$21=1, A75&gt;$B$19), 0, $E$11 * $G$11^((A75-$F$11)/12)))</f>
        <v>0</v>
      </c>
      <c r="L75" s="1" t="n">
        <f aca="false">IF(A75&lt;$F$12, 0, IF(AND($B$21=1, A75&gt;$B$19), 0, $E$12 * $G$12^((A75-$F$12)/12)))</f>
        <v>0</v>
      </c>
      <c r="M75" s="1" t="n">
        <f aca="false">IF(A75&lt;$F$13, 0, IF(AND($B$21=1, A75&gt;$B$19), 0, $E$13 * $G$13^((A75-$F$13)/12)))</f>
        <v>0</v>
      </c>
      <c r="N75" s="1" t="n">
        <f aca="false">IF(A75&lt;$F$14, 0, IF(AND($B$21=1, A75&gt;$B$19), 0, $E$14 * $G$14^((A75-$F$14)/12)))</f>
        <v>0</v>
      </c>
      <c r="O75" s="1" t="n">
        <f aca="false">SUM(F75:N75)</f>
        <v>88.9435162278608</v>
      </c>
      <c r="P75" s="1" t="n">
        <f aca="false">O75/12</f>
        <v>7.41195968565507</v>
      </c>
      <c r="Q75" s="1" t="n">
        <f aca="false">P75*$B$8</f>
        <v>0.741195968565507</v>
      </c>
      <c r="R75" s="1" t="n">
        <f aca="false">P75*$B$9</f>
        <v>0.370597984282754</v>
      </c>
      <c r="S75" s="1" t="n">
        <f aca="false">P75*$B$10</f>
        <v>0.444717581139304</v>
      </c>
      <c r="T75" s="1" t="n">
        <f aca="false">P75-Q75-R75-S75-D75-E75</f>
        <v>5.08940185537121</v>
      </c>
      <c r="U75" s="1" t="n">
        <f aca="false">MAX(0, T75 - $B$7*P75)</f>
        <v>0</v>
      </c>
      <c r="V75" s="1" t="n">
        <f aca="false">T75-U75</f>
        <v>5.08940185537121</v>
      </c>
      <c r="W75" s="1" t="n">
        <f aca="false"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>0</v>
      </c>
      <c r="X75" s="1" t="n">
        <f aca="false">V75-W75-C75</f>
        <v>5.08940185537121</v>
      </c>
      <c r="Y75" s="1" t="n">
        <f aca="false">IF(AND(A75&lt;=$F$10, X75&gt;0), X75*$B$23, 0)</f>
        <v>0</v>
      </c>
      <c r="Z75" s="1" t="n">
        <f aca="false">X75-Y75+IF(A75=$F$10+1, MAX(0, SUM(INDEX(Y:Y,31):INDEX(Y:Y,30+$F$10)) - ('1. Press Assumptions'!$D$93*'1. Press Assumptions'!$E$93 - '1. Press Assumptions'!$D$93*0.1154*0.5)), 0)</f>
        <v>5.08940185537121</v>
      </c>
      <c r="AA75" s="1" t="n">
        <f aca="false">IF(AND(A75=$B$19, $B$21=1), O75*$B$20, 0)</f>
        <v>0</v>
      </c>
      <c r="AB75" s="1" t="n">
        <f aca="false">AB74+Z75+AA75</f>
        <v>112.496367423895</v>
      </c>
    </row>
    <row r="76" customFormat="false" ht="15" hidden="false" customHeight="true" outlineLevel="0" collapsed="false">
      <c r="A76" s="1" t="n">
        <v>46</v>
      </c>
      <c r="B76" s="1" t="n">
        <f aca="false">CEILING(A76/12,1)</f>
        <v>4</v>
      </c>
      <c r="C76" s="1" t="n">
        <f aca="false">IF(A76&lt;=18, $B$15/12, 0)</f>
        <v>0</v>
      </c>
      <c r="D76" s="1" t="n">
        <f aca="false">INDEX('26. Team Comp'!$D$28:$R$28, B76) * 0.001 / 12</f>
        <v>0.636416666666667</v>
      </c>
      <c r="E76" s="1" t="n">
        <f aca="false"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>0.116666666666667</v>
      </c>
      <c r="F76" s="1" t="n">
        <f aca="false">IF(A76&lt;$F$6, 0, IF(AND($B$21=1, A76&gt;$B$19), 0, $E$6 * $G$6^((A76-$F$6)/12)))</f>
        <v>20.8916445034515</v>
      </c>
      <c r="G76" s="1" t="n">
        <f aca="false">IF(A76&lt;$F$7, 0, IF(AND($B$21=1, A76&gt;$B$19), 0, $E$7 * $G$7^((A76-$F$7)/12)))</f>
        <v>17.9077609579653</v>
      </c>
      <c r="H76" s="1" t="n">
        <f aca="false">IF(A76&lt;$F$8, 0, IF(AND($B$21=1, A76&gt;$B$19), 0, $E$8 * $G$8^((A76-$F$8)/12)))</f>
        <v>15.7746705614513</v>
      </c>
      <c r="I76" s="1" t="n">
        <f aca="false">IF(A76&lt;$F$9, 0, IF(AND($B$21=1, A76&gt;$B$19), 0, $E$9 * $G$9^((A76-$F$9)/12)))</f>
        <v>16.6528021759853</v>
      </c>
      <c r="J76" s="1" t="n">
        <f aca="false">IF(A76&lt;$F$10, 0, IF(AND($B$21=1, A76&gt;$B$19), 0, $E$10 * $G$10^((A76-$F$10)/12)))</f>
        <v>16.9544371971545</v>
      </c>
      <c r="K76" s="1" t="n">
        <f aca="false">IF(A76&lt;$F$11, 0, IF(AND($B$21=1, A76&gt;$B$19), 0, $E$11 * $G$11^((A76-$F$11)/12)))</f>
        <v>0</v>
      </c>
      <c r="L76" s="1" t="n">
        <f aca="false">IF(A76&lt;$F$12, 0, IF(AND($B$21=1, A76&gt;$B$19), 0, $E$12 * $G$12^((A76-$F$12)/12)))</f>
        <v>0</v>
      </c>
      <c r="M76" s="1" t="n">
        <f aca="false">IF(A76&lt;$F$13, 0, IF(AND($B$21=1, A76&gt;$B$19), 0, $E$13 * $G$13^((A76-$F$13)/12)))</f>
        <v>0</v>
      </c>
      <c r="N76" s="1" t="n">
        <f aca="false">IF(A76&lt;$F$14, 0, IF(AND($B$21=1, A76&gt;$B$19), 0, $E$14 * $G$14^((A76-$F$14)/12)))</f>
        <v>0</v>
      </c>
      <c r="O76" s="1" t="n">
        <f aca="false">SUM(F76:N76)</f>
        <v>88.1813153960078</v>
      </c>
      <c r="P76" s="1" t="n">
        <f aca="false">O76/12</f>
        <v>7.34844294966731</v>
      </c>
      <c r="Q76" s="1" t="n">
        <f aca="false">P76*$B$8</f>
        <v>0.734844294966731</v>
      </c>
      <c r="R76" s="1" t="n">
        <f aca="false">P76*$B$9</f>
        <v>0.367422147483366</v>
      </c>
      <c r="S76" s="1" t="n">
        <f aca="false">P76*$B$10</f>
        <v>0.440906576980039</v>
      </c>
      <c r="T76" s="1" t="n">
        <f aca="false">P76-Q76-R76-S76-D76-E76</f>
        <v>5.05218659690384</v>
      </c>
      <c r="U76" s="1" t="n">
        <f aca="false">MAX(0, T76 - $B$7*P76)</f>
        <v>0</v>
      </c>
      <c r="V76" s="1" t="n">
        <f aca="false">T76-U76</f>
        <v>5.05218659690384</v>
      </c>
      <c r="W76" s="1" t="n">
        <f aca="false"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>0</v>
      </c>
      <c r="X76" s="1" t="n">
        <f aca="false">V76-W76-C76</f>
        <v>5.05218659690384</v>
      </c>
      <c r="Y76" s="1" t="n">
        <f aca="false">IF(AND(A76&lt;=$F$10, X76&gt;0), X76*$B$23, 0)</f>
        <v>0</v>
      </c>
      <c r="Z76" s="1" t="n">
        <f aca="false">X76-Y76+IF(A76=$F$10+1, MAX(0, SUM(INDEX(Y:Y,31):INDEX(Y:Y,30+$F$10)) - ('1. Press Assumptions'!$D$93*'1. Press Assumptions'!$E$93 - '1. Press Assumptions'!$D$93*0.1154*0.5)), 0)</f>
        <v>5.05218659690384</v>
      </c>
      <c r="AA76" s="1" t="n">
        <f aca="false">IF(AND(A76=$B$19, $B$21=1), O76*$B$20, 0)</f>
        <v>0</v>
      </c>
      <c r="AB76" s="1" t="n">
        <f aca="false">AB75+Z76+AA76</f>
        <v>117.548554020799</v>
      </c>
    </row>
    <row r="77" customFormat="false" ht="15" hidden="false" customHeight="true" outlineLevel="0" collapsed="false">
      <c r="A77" s="1" t="n">
        <v>47</v>
      </c>
      <c r="B77" s="1" t="n">
        <f aca="false">CEILING(A77/12,1)</f>
        <v>4</v>
      </c>
      <c r="C77" s="1" t="n">
        <f aca="false">IF(A77&lt;=18, $B$15/12, 0)</f>
        <v>0</v>
      </c>
      <c r="D77" s="1" t="n">
        <f aca="false">INDEX('26. Team Comp'!$D$28:$R$28, B77) * 0.001 / 12</f>
        <v>0.636416666666667</v>
      </c>
      <c r="E77" s="1" t="n">
        <f aca="false"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>0.103703703703704</v>
      </c>
      <c r="F77" s="1" t="n">
        <f aca="false">IF(A77&lt;$F$6, 0, IF(AND($B$21=1, A77&gt;$B$19), 0, $E$6 * $G$6^((A77-$F$6)/12)))</f>
        <v>20.8025349798568</v>
      </c>
      <c r="G77" s="1" t="n">
        <f aca="false">IF(A77&lt;$F$7, 0, IF(AND($B$21=1, A77&gt;$B$19), 0, $E$7 * $G$7^((A77-$F$7)/12)))</f>
        <v>17.751218278601</v>
      </c>
      <c r="H77" s="1" t="n">
        <f aca="false">IF(A77&lt;$F$8, 0, IF(AND($B$21=1, A77&gt;$B$19), 0, $E$8 * $G$8^((A77-$F$8)/12)))</f>
        <v>15.5624705289289</v>
      </c>
      <c r="I77" s="1" t="n">
        <f aca="false">IF(A77&lt;$F$9, 0, IF(AND($B$21=1, A77&gt;$B$19), 0, $E$9 * $G$9^((A77-$F$9)/12)))</f>
        <v>16.4287895635148</v>
      </c>
      <c r="J77" s="1" t="n">
        <f aca="false">IF(A77&lt;$F$10, 0, IF(AND($B$21=1, A77&gt;$B$19), 0, $E$10 * $G$10^((A77-$F$10)/12)))</f>
        <v>16.8821211178145</v>
      </c>
      <c r="K77" s="1" t="n">
        <f aca="false">IF(A77&lt;$F$11, 0, IF(AND($B$21=1, A77&gt;$B$19), 0, $E$11 * $G$11^((A77-$F$11)/12)))</f>
        <v>0</v>
      </c>
      <c r="L77" s="1" t="n">
        <f aca="false">IF(A77&lt;$F$12, 0, IF(AND($B$21=1, A77&gt;$B$19), 0, $E$12 * $G$12^((A77-$F$12)/12)))</f>
        <v>0</v>
      </c>
      <c r="M77" s="1" t="n">
        <f aca="false">IF(A77&lt;$F$13, 0, IF(AND($B$21=1, A77&gt;$B$19), 0, $E$13 * $G$13^((A77-$F$13)/12)))</f>
        <v>0</v>
      </c>
      <c r="N77" s="1" t="n">
        <f aca="false">IF(A77&lt;$F$14, 0, IF(AND($B$21=1, A77&gt;$B$19), 0, $E$14 * $G$14^((A77-$F$14)/12)))</f>
        <v>0</v>
      </c>
      <c r="O77" s="1" t="n">
        <f aca="false">SUM(F77:N77)</f>
        <v>87.427134468716</v>
      </c>
      <c r="P77" s="1" t="n">
        <f aca="false">O77/12</f>
        <v>7.28559453905967</v>
      </c>
      <c r="Q77" s="1" t="n">
        <f aca="false">P77*$B$8</f>
        <v>0.728559453905967</v>
      </c>
      <c r="R77" s="1" t="n">
        <f aca="false">P77*$B$9</f>
        <v>0.364279726952984</v>
      </c>
      <c r="S77" s="1" t="n">
        <f aca="false">P77*$B$10</f>
        <v>0.43713567234358</v>
      </c>
      <c r="T77" s="1" t="n">
        <f aca="false">P77-Q77-R77-S77-D77-E77</f>
        <v>5.01549931548677</v>
      </c>
      <c r="U77" s="1" t="n">
        <f aca="false">MAX(0, T77 - $B$7*P77)</f>
        <v>0</v>
      </c>
      <c r="V77" s="1" t="n">
        <f aca="false">T77-U77</f>
        <v>5.01549931548677</v>
      </c>
      <c r="W77" s="1" t="n">
        <f aca="false"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>0</v>
      </c>
      <c r="X77" s="1" t="n">
        <f aca="false">V77-W77-C77</f>
        <v>5.01549931548677</v>
      </c>
      <c r="Y77" s="1" t="n">
        <f aca="false">IF(AND(A77&lt;=$F$10, X77&gt;0), X77*$B$23, 0)</f>
        <v>0</v>
      </c>
      <c r="Z77" s="1" t="n">
        <f aca="false">X77-Y77+IF(A77=$F$10+1, MAX(0, SUM(INDEX(Y:Y,31):INDEX(Y:Y,30+$F$10)) - ('1. Press Assumptions'!$D$93*'1. Press Assumptions'!$E$93 - '1. Press Assumptions'!$D$93*0.1154*0.5)), 0)</f>
        <v>5.01549931548677</v>
      </c>
      <c r="AA77" s="1" t="n">
        <f aca="false">IF(AND(A77=$B$19, $B$21=1), O77*$B$20, 0)</f>
        <v>0</v>
      </c>
      <c r="AB77" s="1" t="n">
        <f aca="false">AB76+Z77+AA77</f>
        <v>122.564053336286</v>
      </c>
    </row>
    <row r="78" customFormat="false" ht="15" hidden="false" customHeight="true" outlineLevel="0" collapsed="false">
      <c r="A78" s="1" t="n">
        <v>48</v>
      </c>
      <c r="B78" s="1" t="n">
        <f aca="false">CEILING(A78/12,1)</f>
        <v>4</v>
      </c>
      <c r="C78" s="1" t="n">
        <f aca="false">IF(A78&lt;=18, $B$15/12, 0)</f>
        <v>0</v>
      </c>
      <c r="D78" s="1" t="n">
        <f aca="false">INDEX('26. Team Comp'!$D$28:$R$28, B78) * 0.001 / 12</f>
        <v>0.636416666666667</v>
      </c>
      <c r="E78" s="1" t="n">
        <f aca="false"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>0.0907407407407408</v>
      </c>
      <c r="F78" s="1" t="n">
        <f aca="false">IF(A78&lt;$F$6, 0, IF(AND($B$21=1, A78&gt;$B$19), 0, $E$6 * $G$6^((A78-$F$6)/12)))</f>
        <v>20.7138055367863</v>
      </c>
      <c r="G78" s="1" t="n">
        <f aca="false">IF(A78&lt;$F$7, 0, IF(AND($B$21=1, A78&gt;$B$19), 0, $E$7 * $G$7^((A78-$F$7)/12)))</f>
        <v>17.5960440344376</v>
      </c>
      <c r="H78" s="1" t="n">
        <f aca="false">IF(A78&lt;$F$8, 0, IF(AND($B$21=1, A78&gt;$B$19), 0, $E$8 * $G$8^((A78-$F$8)/12)))</f>
        <v>15.353125</v>
      </c>
      <c r="I78" s="1" t="n">
        <f aca="false">IF(A78&lt;$F$9, 0, IF(AND($B$21=1, A78&gt;$B$19), 0, $E$9 * $G$9^((A78-$F$9)/12)))</f>
        <v>16.2077903568372</v>
      </c>
      <c r="J78" s="1" t="n">
        <f aca="false">IF(A78&lt;$F$10, 0, IF(AND($B$21=1, A78&gt;$B$19), 0, $E$10 * $G$10^((A78-$F$10)/12)))</f>
        <v>16.8101134896056</v>
      </c>
      <c r="K78" s="1" t="n">
        <f aca="false">IF(A78&lt;$F$11, 0, IF(AND($B$21=1, A78&gt;$B$19), 0, $E$11 * $G$11^((A78-$F$11)/12)))</f>
        <v>0</v>
      </c>
      <c r="L78" s="1" t="n">
        <f aca="false">IF(A78&lt;$F$12, 0, IF(AND($B$21=1, A78&gt;$B$19), 0, $E$12 * $G$12^((A78-$F$12)/12)))</f>
        <v>0</v>
      </c>
      <c r="M78" s="1" t="n">
        <f aca="false">IF(A78&lt;$F$13, 0, IF(AND($B$21=1, A78&gt;$B$19), 0, $E$13 * $G$13^((A78-$F$13)/12)))</f>
        <v>0</v>
      </c>
      <c r="N78" s="1" t="n">
        <f aca="false">IF(A78&lt;$F$14, 0, IF(AND($B$21=1, A78&gt;$B$19), 0, $E$14 * $G$14^((A78-$F$14)/12)))</f>
        <v>0</v>
      </c>
      <c r="O78" s="1" t="n">
        <f aca="false">SUM(F78:N78)</f>
        <v>86.6808784176668</v>
      </c>
      <c r="P78" s="1" t="n">
        <f aca="false">O78/12</f>
        <v>7.22340653480557</v>
      </c>
      <c r="Q78" s="1" t="n">
        <f aca="false">P78*$B$8</f>
        <v>0.722340653480557</v>
      </c>
      <c r="R78" s="1" t="n">
        <f aca="false">P78*$B$9</f>
        <v>0.361170326740278</v>
      </c>
      <c r="S78" s="1" t="n">
        <f aca="false">P78*$B$10</f>
        <v>0.433404392088334</v>
      </c>
      <c r="T78" s="1" t="n">
        <f aca="false">P78-Q78-R78-S78-D78-E78</f>
        <v>4.97933375508899</v>
      </c>
      <c r="U78" s="1" t="n">
        <f aca="false">MAX(0, T78 - $B$7*P78)</f>
        <v>0</v>
      </c>
      <c r="V78" s="1" t="n">
        <f aca="false">T78-U78</f>
        <v>4.97933375508899</v>
      </c>
      <c r="W78" s="1" t="n">
        <f aca="false"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>0</v>
      </c>
      <c r="X78" s="1" t="n">
        <f aca="false">V78-W78-C78</f>
        <v>4.97933375508899</v>
      </c>
      <c r="Y78" s="1" t="n">
        <f aca="false">IF(AND(A78&lt;=$F$10, X78&gt;0), X78*$B$23, 0)</f>
        <v>0</v>
      </c>
      <c r="Z78" s="1" t="n">
        <f aca="false">X78-Y78+IF(A78=$F$10+1, MAX(0, SUM(INDEX(Y:Y,31):INDEX(Y:Y,30+$F$10)) - ('1. Press Assumptions'!$D$93*'1. Press Assumptions'!$E$93 - '1. Press Assumptions'!$D$93*0.1154*0.5)), 0)</f>
        <v>4.97933375508899</v>
      </c>
      <c r="AA78" s="1" t="n">
        <f aca="false">IF(AND(A78=$B$19, $B$21=1), O78*$B$20, 0)</f>
        <v>0</v>
      </c>
      <c r="AB78" s="1" t="n">
        <f aca="false">AB77+Z78+AA78</f>
        <v>127.543387091375</v>
      </c>
    </row>
    <row r="79" customFormat="false" ht="15" hidden="false" customHeight="true" outlineLevel="0" collapsed="false">
      <c r="A79" s="1" t="n">
        <v>49</v>
      </c>
      <c r="B79" s="1" t="n">
        <f aca="false">CEILING(A79/12,1)</f>
        <v>5</v>
      </c>
      <c r="C79" s="1" t="n">
        <f aca="false">IF(A79&lt;=18, $B$15/12, 0)</f>
        <v>0</v>
      </c>
      <c r="D79" s="1" t="n">
        <f aca="false">INDEX('26. Team Comp'!$D$28:$R$28, B79) * 0.001 / 12</f>
        <v>0.636416666666667</v>
      </c>
      <c r="E79" s="1" t="n">
        <f aca="false"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>0.0777777777777778</v>
      </c>
      <c r="F79" s="1" t="n">
        <f aca="false">IF(A79&lt;$F$6, 0, IF(AND($B$21=1, A79&gt;$B$19), 0, $E$6 * $G$6^((A79-$F$6)/12)))</f>
        <v>20.6254545530755</v>
      </c>
      <c r="G79" s="1" t="n">
        <f aca="false">IF(A79&lt;$F$7, 0, IF(AND($B$21=1, A79&gt;$B$19), 0, $E$7 * $G$7^((A79-$F$7)/12)))</f>
        <v>17.4422262631468</v>
      </c>
      <c r="H79" s="1" t="n">
        <f aca="false">IF(A79&lt;$F$8, 0, IF(AND($B$21=1, A79&gt;$B$19), 0, $E$8 * $G$8^((A79-$F$8)/12)))</f>
        <v>15.1465955760334</v>
      </c>
      <c r="I79" s="1" t="n">
        <f aca="false">IF(A79&lt;$F$9, 0, IF(AND($B$21=1, A79&gt;$B$19), 0, $E$9 * $G$9^((A79-$F$9)/12)))</f>
        <v>15.9897640197776</v>
      </c>
      <c r="J79" s="1" t="n">
        <f aca="false">IF(A79&lt;$F$10, 0, IF(AND($B$21=1, A79&gt;$B$19), 0, $E$10 * $G$10^((A79-$F$10)/12)))</f>
        <v>16.7384129968855</v>
      </c>
      <c r="K79" s="1" t="n">
        <f aca="false">IF(A79&lt;$F$11, 0, IF(AND($B$21=1, A79&gt;$B$19), 0, $E$11 * $G$11^((A79-$F$11)/12)))</f>
        <v>0</v>
      </c>
      <c r="L79" s="1" t="n">
        <f aca="false">IF(A79&lt;$F$12, 0, IF(AND($B$21=1, A79&gt;$B$19), 0, $E$12 * $G$12^((A79-$F$12)/12)))</f>
        <v>0</v>
      </c>
      <c r="M79" s="1" t="n">
        <f aca="false">IF(A79&lt;$F$13, 0, IF(AND($B$21=1, A79&gt;$B$19), 0, $E$13 * $G$13^((A79-$F$13)/12)))</f>
        <v>0</v>
      </c>
      <c r="N79" s="1" t="n">
        <f aca="false">IF(A79&lt;$F$14, 0, IF(AND($B$21=1, A79&gt;$B$19), 0, $E$14 * $G$14^((A79-$F$14)/12)))</f>
        <v>0</v>
      </c>
      <c r="O79" s="1" t="n">
        <f aca="false">SUM(F79:N79)</f>
        <v>85.9424534089189</v>
      </c>
      <c r="P79" s="1" t="n">
        <f aca="false">O79/12</f>
        <v>7.16187111740991</v>
      </c>
      <c r="Q79" s="1" t="n">
        <f aca="false">P79*$B$8</f>
        <v>0.716187111740991</v>
      </c>
      <c r="R79" s="1" t="n">
        <f aca="false">P79*$B$9</f>
        <v>0.358093555870495</v>
      </c>
      <c r="S79" s="1" t="n">
        <f aca="false">P79*$B$10</f>
        <v>0.429712267044594</v>
      </c>
      <c r="T79" s="1" t="n">
        <f aca="false">P79-Q79-R79-S79-D79-E79</f>
        <v>4.94368373830938</v>
      </c>
      <c r="U79" s="1" t="n">
        <f aca="false">MAX(0, T79 - $B$7*P79)</f>
        <v>0</v>
      </c>
      <c r="V79" s="1" t="n">
        <f aca="false">T79-U79</f>
        <v>4.94368373830938</v>
      </c>
      <c r="W79" s="1" t="n">
        <f aca="false"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>0</v>
      </c>
      <c r="X79" s="1" t="n">
        <f aca="false">V79-W79-C79</f>
        <v>4.94368373830938</v>
      </c>
      <c r="Y79" s="1" t="n">
        <f aca="false">IF(AND(A79&lt;=$F$10, X79&gt;0), X79*$B$23, 0)</f>
        <v>0</v>
      </c>
      <c r="Z79" s="1" t="n">
        <f aca="false">X79-Y79+IF(A79=$F$10+1, MAX(0, SUM(INDEX(Y:Y,31):INDEX(Y:Y,30+$F$10)) - ('1. Press Assumptions'!$D$93*'1. Press Assumptions'!$E$93 - '1. Press Assumptions'!$D$93*0.1154*0.5)), 0)</f>
        <v>4.94368373830938</v>
      </c>
      <c r="AA79" s="1" t="n">
        <f aca="false">IF(AND(A79=$B$19, $B$21=1), O79*$B$20, 0)</f>
        <v>0</v>
      </c>
      <c r="AB79" s="1" t="n">
        <f aca="false">AB78+Z79+AA79</f>
        <v>132.487070829684</v>
      </c>
    </row>
    <row r="80" customFormat="false" ht="15" hidden="false" customHeight="true" outlineLevel="0" collapsed="false">
      <c r="A80" s="1" t="n">
        <v>50</v>
      </c>
      <c r="B80" s="1" t="n">
        <f aca="false">CEILING(A80/12,1)</f>
        <v>5</v>
      </c>
      <c r="C80" s="1" t="n">
        <f aca="false">IF(A80&lt;=18, $B$15/12, 0)</f>
        <v>0</v>
      </c>
      <c r="D80" s="1" t="n">
        <f aca="false">INDEX('26. Team Comp'!$D$28:$R$28, B80) * 0.001 / 12</f>
        <v>0.636416666666667</v>
      </c>
      <c r="E80" s="1" t="n">
        <f aca="false"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>0.0648148148148148</v>
      </c>
      <c r="F80" s="1" t="n">
        <f aca="false">IF(A80&lt;$F$6, 0, IF(AND($B$21=1, A80&gt;$B$19), 0, $E$6 * $G$6^((A80-$F$6)/12)))</f>
        <v>20.5374804144746</v>
      </c>
      <c r="G80" s="1" t="n">
        <f aca="false">IF(A80&lt;$F$7, 0, IF(AND($B$21=1, A80&gt;$B$19), 0, $E$7 * $G$7^((A80-$F$7)/12)))</f>
        <v>17.2897531069706</v>
      </c>
      <c r="H80" s="1" t="n">
        <f aca="false">IF(A80&lt;$F$8, 0, IF(AND($B$21=1, A80&gt;$B$19), 0, $E$8 * $G$8^((A80-$F$8)/12)))</f>
        <v>14.9428443749344</v>
      </c>
      <c r="I80" s="1" t="n">
        <f aca="false">IF(A80&lt;$F$9, 0, IF(AND($B$21=1, A80&gt;$B$19), 0, $E$9 * $G$9^((A80-$F$9)/12)))</f>
        <v>15.7746705614513</v>
      </c>
      <c r="J80" s="1" t="n">
        <f aca="false">IF(A80&lt;$F$10, 0, IF(AND($B$21=1, A80&gt;$B$19), 0, $E$10 * $G$10^((A80-$F$10)/12)))</f>
        <v>16.6670183296233</v>
      </c>
      <c r="K80" s="1" t="n">
        <f aca="false">IF(A80&lt;$F$11, 0, IF(AND($B$21=1, A80&gt;$B$19), 0, $E$11 * $G$11^((A80-$F$11)/12)))</f>
        <v>0</v>
      </c>
      <c r="L80" s="1" t="n">
        <f aca="false">IF(A80&lt;$F$12, 0, IF(AND($B$21=1, A80&gt;$B$19), 0, $E$12 * $G$12^((A80-$F$12)/12)))</f>
        <v>0</v>
      </c>
      <c r="M80" s="1" t="n">
        <f aca="false">IF(A80&lt;$F$13, 0, IF(AND($B$21=1, A80&gt;$B$19), 0, $E$13 * $G$13^((A80-$F$13)/12)))</f>
        <v>0</v>
      </c>
      <c r="N80" s="1" t="n">
        <f aca="false">IF(A80&lt;$F$14, 0, IF(AND($B$21=1, A80&gt;$B$19), 0, $E$14 * $G$14^((A80-$F$14)/12)))</f>
        <v>0</v>
      </c>
      <c r="O80" s="1" t="n">
        <f aca="false">SUM(F80:N80)</f>
        <v>85.2117667874542</v>
      </c>
      <c r="P80" s="1" t="n">
        <f aca="false">O80/12</f>
        <v>7.10098056562118</v>
      </c>
      <c r="Q80" s="1" t="n">
        <f aca="false">P80*$B$8</f>
        <v>0.710098056562118</v>
      </c>
      <c r="R80" s="1" t="n">
        <f aca="false">P80*$B$9</f>
        <v>0.355049028281059</v>
      </c>
      <c r="S80" s="1" t="n">
        <f aca="false">P80*$B$10</f>
        <v>0.426058833937271</v>
      </c>
      <c r="T80" s="1" t="n">
        <f aca="false">P80-Q80-R80-S80-D80-E80</f>
        <v>4.90854316535925</v>
      </c>
      <c r="U80" s="1" t="n">
        <f aca="false">MAX(0, T80 - $B$7*P80)</f>
        <v>0</v>
      </c>
      <c r="V80" s="1" t="n">
        <f aca="false">T80-U80</f>
        <v>4.90854316535925</v>
      </c>
      <c r="W80" s="1" t="n">
        <f aca="false"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>0</v>
      </c>
      <c r="X80" s="1" t="n">
        <f aca="false">V80-W80-C80</f>
        <v>4.90854316535925</v>
      </c>
      <c r="Y80" s="1" t="n">
        <f aca="false">IF(AND(A80&lt;=$F$10, X80&gt;0), X80*$B$23, 0)</f>
        <v>0</v>
      </c>
      <c r="Z80" s="1" t="n">
        <f aca="false">X80-Y80+IF(A80=$F$10+1, MAX(0, SUM(INDEX(Y:Y,31):INDEX(Y:Y,30+$F$10)) - ('1. Press Assumptions'!$D$93*'1. Press Assumptions'!$E$93 - '1. Press Assumptions'!$D$93*0.1154*0.5)), 0)</f>
        <v>4.90854316535925</v>
      </c>
      <c r="AA80" s="1" t="n">
        <f aca="false">IF(AND(A80=$B$19, $B$21=1), O80*$B$20, 0)</f>
        <v>0</v>
      </c>
      <c r="AB80" s="1" t="n">
        <f aca="false">AB79+Z80+AA80</f>
        <v>137.395613995043</v>
      </c>
    </row>
    <row r="81" customFormat="false" ht="15" hidden="false" customHeight="true" outlineLevel="0" collapsed="false">
      <c r="A81" s="1" t="n">
        <v>51</v>
      </c>
      <c r="B81" s="1" t="n">
        <f aca="false">CEILING(A81/12,1)</f>
        <v>5</v>
      </c>
      <c r="C81" s="1" t="n">
        <f aca="false">IF(A81&lt;=18, $B$15/12, 0)</f>
        <v>0</v>
      </c>
      <c r="D81" s="1" t="n">
        <f aca="false">INDEX('26. Team Comp'!$D$28:$R$28, B81) * 0.001 / 12</f>
        <v>0.636416666666667</v>
      </c>
      <c r="E81" s="1" t="n">
        <f aca="false"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>0.0518518518518519</v>
      </c>
      <c r="F81" s="1" t="n">
        <f aca="false">IF(A81&lt;$F$6, 0, IF(AND($B$21=1, A81&gt;$B$19), 0, $E$6 * $G$6^((A81-$F$6)/12)))</f>
        <v>20.4498815136189</v>
      </c>
      <c r="G81" s="1" t="n">
        <f aca="false">IF(A81&lt;$F$7, 0, IF(AND($B$21=1, A81&gt;$B$19), 0, $E$7 * $G$7^((A81-$F$7)/12)))</f>
        <v>17.1386128118067</v>
      </c>
      <c r="H81" s="1" t="n">
        <f aca="false">IF(A81&lt;$F$8, 0, IF(AND($B$21=1, A81&gt;$B$19), 0, $E$8 * $G$8^((A81-$F$8)/12)))</f>
        <v>14.7418340241962</v>
      </c>
      <c r="I81" s="1" t="n">
        <f aca="false">IF(A81&lt;$F$9, 0, IF(AND($B$21=1, A81&gt;$B$19), 0, $E$9 * $G$9^((A81-$F$9)/12)))</f>
        <v>15.5624705289289</v>
      </c>
      <c r="J81" s="1" t="n">
        <f aca="false">IF(A81&lt;$F$10, 0, IF(AND($B$21=1, A81&gt;$B$19), 0, $E$10 * $G$10^((A81-$F$10)/12)))</f>
        <v>16.595928183376</v>
      </c>
      <c r="K81" s="1" t="n">
        <f aca="false">IF(A81&lt;$F$11, 0, IF(AND($B$21=1, A81&gt;$B$19), 0, $E$11 * $G$11^((A81-$F$11)/12)))</f>
        <v>0</v>
      </c>
      <c r="L81" s="1" t="n">
        <f aca="false">IF(A81&lt;$F$12, 0, IF(AND($B$21=1, A81&gt;$B$19), 0, $E$12 * $G$12^((A81-$F$12)/12)))</f>
        <v>0</v>
      </c>
      <c r="M81" s="1" t="n">
        <f aca="false">IF(A81&lt;$F$13, 0, IF(AND($B$21=1, A81&gt;$B$19), 0, $E$13 * $G$13^((A81-$F$13)/12)))</f>
        <v>0</v>
      </c>
      <c r="N81" s="1" t="n">
        <f aca="false">IF(A81&lt;$F$14, 0, IF(AND($B$21=1, A81&gt;$B$19), 0, $E$14 * $G$14^((A81-$F$14)/12)))</f>
        <v>0</v>
      </c>
      <c r="O81" s="1" t="n">
        <f aca="false">SUM(F81:N81)</f>
        <v>84.4887270619268</v>
      </c>
      <c r="P81" s="1" t="n">
        <f aca="false">O81/12</f>
        <v>7.04072725516056</v>
      </c>
      <c r="Q81" s="1" t="n">
        <f aca="false">P81*$B$8</f>
        <v>0.704072725516057</v>
      </c>
      <c r="R81" s="1" t="n">
        <f aca="false">P81*$B$9</f>
        <v>0.352036362758028</v>
      </c>
      <c r="S81" s="1" t="n">
        <f aca="false">P81*$B$10</f>
        <v>0.422443635309634</v>
      </c>
      <c r="T81" s="1" t="n">
        <f aca="false">P81-Q81-R81-S81-D81-E81</f>
        <v>4.87390601305833</v>
      </c>
      <c r="U81" s="1" t="n">
        <f aca="false">MAX(0, T81 - $B$7*P81)</f>
        <v>0</v>
      </c>
      <c r="V81" s="1" t="n">
        <f aca="false">T81-U81</f>
        <v>4.87390601305833</v>
      </c>
      <c r="W81" s="1" t="n">
        <f aca="false"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>0</v>
      </c>
      <c r="X81" s="1" t="n">
        <f aca="false">V81-W81-C81</f>
        <v>4.87390601305833</v>
      </c>
      <c r="Y81" s="1" t="n">
        <f aca="false">IF(AND(A81&lt;=$F$10, X81&gt;0), X81*$B$23, 0)</f>
        <v>0</v>
      </c>
      <c r="Z81" s="1" t="n">
        <f aca="false">X81-Y81+IF(A81=$F$10+1, MAX(0, SUM(INDEX(Y:Y,31):INDEX(Y:Y,30+$F$10)) - ('1. Press Assumptions'!$D$93*'1. Press Assumptions'!$E$93 - '1. Press Assumptions'!$D$93*0.1154*0.5)), 0)</f>
        <v>4.87390601305833</v>
      </c>
      <c r="AA81" s="1" t="n">
        <f aca="false">IF(AND(A81=$B$19, $B$21=1), O81*$B$20, 0)</f>
        <v>0</v>
      </c>
      <c r="AB81" s="1" t="n">
        <f aca="false">AB80+Z81+AA81</f>
        <v>142.269520008102</v>
      </c>
    </row>
    <row r="82" customFormat="false" ht="15" hidden="false" customHeight="true" outlineLevel="0" collapsed="false">
      <c r="A82" s="1" t="n">
        <v>52</v>
      </c>
      <c r="B82" s="1" t="n">
        <f aca="false">CEILING(A82/12,1)</f>
        <v>5</v>
      </c>
      <c r="C82" s="1" t="n">
        <f aca="false">IF(A82&lt;=18, $B$15/12, 0)</f>
        <v>0</v>
      </c>
      <c r="D82" s="1" t="n">
        <f aca="false">INDEX('26. Team Comp'!$D$28:$R$28, B82) * 0.001 / 12</f>
        <v>0.636416666666667</v>
      </c>
      <c r="E82" s="1" t="n">
        <f aca="false"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>0.0388888888888889</v>
      </c>
      <c r="F82" s="1" t="n">
        <f aca="false">IF(A82&lt;$F$6, 0, IF(AND($B$21=1, A82&gt;$B$19), 0, $E$6 * $G$6^((A82-$F$6)/12)))</f>
        <v>20.36265625</v>
      </c>
      <c r="G82" s="1" t="n">
        <f aca="false">IF(A82&lt;$F$7, 0, IF(AND($B$21=1, A82&gt;$B$19), 0, $E$7 * $G$7^((A82-$F$7)/12)))</f>
        <v>16.9887937263027</v>
      </c>
      <c r="H82" s="1" t="n">
        <f aca="false">IF(A82&lt;$F$8, 0, IF(AND($B$21=1, A82&gt;$B$19), 0, $E$8 * $G$8^((A82-$F$8)/12)))</f>
        <v>14.5435276540449</v>
      </c>
      <c r="I82" s="1" t="n">
        <f aca="false">IF(A82&lt;$F$9, 0, IF(AND($B$21=1, A82&gt;$B$19), 0, $E$9 * $G$9^((A82-$F$9)/12)))</f>
        <v>15.353125</v>
      </c>
      <c r="J82" s="1" t="n">
        <f aca="false">IF(A82&lt;$F$10, 0, IF(AND($B$21=1, A82&gt;$B$19), 0, $E$10 * $G$10^((A82-$F$10)/12)))</f>
        <v>16.5251412592644</v>
      </c>
      <c r="K82" s="1" t="n">
        <f aca="false">IF(A82&lt;$F$11, 0, IF(AND($B$21=1, A82&gt;$B$19), 0, $E$11 * $G$11^((A82-$F$11)/12)))</f>
        <v>0</v>
      </c>
      <c r="L82" s="1" t="n">
        <f aca="false">IF(A82&lt;$F$12, 0, IF(AND($B$21=1, A82&gt;$B$19), 0, $E$12 * $G$12^((A82-$F$12)/12)))</f>
        <v>0</v>
      </c>
      <c r="M82" s="1" t="n">
        <f aca="false">IF(A82&lt;$F$13, 0, IF(AND($B$21=1, A82&gt;$B$19), 0, $E$13 * $G$13^((A82-$F$13)/12)))</f>
        <v>0</v>
      </c>
      <c r="N82" s="1" t="n">
        <f aca="false">IF(A82&lt;$F$14, 0, IF(AND($B$21=1, A82&gt;$B$19), 0, $E$14 * $G$14^((A82-$F$14)/12)))</f>
        <v>0</v>
      </c>
      <c r="O82" s="1" t="n">
        <f aca="false">SUM(F82:N82)</f>
        <v>83.7732438896121</v>
      </c>
      <c r="P82" s="1" t="n">
        <f aca="false">O82/12</f>
        <v>6.98110365746767</v>
      </c>
      <c r="Q82" s="1" t="n">
        <f aca="false">P82*$B$8</f>
        <v>0.698110365746767</v>
      </c>
      <c r="R82" s="1" t="n">
        <f aca="false">P82*$B$9</f>
        <v>0.349055182873384</v>
      </c>
      <c r="S82" s="1" t="n">
        <f aca="false">P82*$B$10</f>
        <v>0.41886621944806</v>
      </c>
      <c r="T82" s="1" t="n">
        <f aca="false">P82-Q82-R82-S82-D82-E82</f>
        <v>4.83976633384391</v>
      </c>
      <c r="U82" s="1" t="n">
        <f aca="false">MAX(0, T82 - $B$7*P82)</f>
        <v>0</v>
      </c>
      <c r="V82" s="1" t="n">
        <f aca="false">T82-U82</f>
        <v>4.83976633384391</v>
      </c>
      <c r="W82" s="1" t="n">
        <f aca="false"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>0</v>
      </c>
      <c r="X82" s="1" t="n">
        <f aca="false">V82-W82-C82</f>
        <v>4.83976633384391</v>
      </c>
      <c r="Y82" s="1" t="n">
        <f aca="false">IF(AND(A82&lt;=$F$10, X82&gt;0), X82*$B$23, 0)</f>
        <v>0</v>
      </c>
      <c r="Z82" s="1" t="n">
        <f aca="false">X82-Y82+IF(A82=$F$10+1, MAX(0, SUM(INDEX(Y:Y,31):INDEX(Y:Y,30+$F$10)) - ('1. Press Assumptions'!$D$93*'1. Press Assumptions'!$E$93 - '1. Press Assumptions'!$D$93*0.1154*0.5)), 0)</f>
        <v>4.83976633384391</v>
      </c>
      <c r="AA82" s="1" t="n">
        <f aca="false">IF(AND(A82=$B$19, $B$21=1), O82*$B$20, 0)</f>
        <v>0</v>
      </c>
      <c r="AB82" s="1" t="n">
        <f aca="false">AB81+Z82+AA82</f>
        <v>147.109286341945</v>
      </c>
    </row>
    <row r="83" customFormat="false" ht="15" hidden="false" customHeight="true" outlineLevel="0" collapsed="false">
      <c r="A83" s="1" t="n">
        <v>53</v>
      </c>
      <c r="B83" s="1" t="n">
        <f aca="false">CEILING(A83/12,1)</f>
        <v>5</v>
      </c>
      <c r="C83" s="1" t="n">
        <f aca="false">IF(A83&lt;=18, $B$15/12, 0)</f>
        <v>0</v>
      </c>
      <c r="D83" s="1" t="n">
        <f aca="false">INDEX('26. Team Comp'!$D$28:$R$28, B83) * 0.001 / 12</f>
        <v>0.636416666666667</v>
      </c>
      <c r="E83" s="1" t="n">
        <f aca="false"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>0.0259259259259259</v>
      </c>
      <c r="F83" s="1" t="n">
        <f aca="false">IF(A83&lt;$F$6, 0, IF(AND($B$21=1, A83&gt;$B$19), 0, $E$6 * $G$6^((A83-$F$6)/12)))</f>
        <v>20.2758030299359</v>
      </c>
      <c r="G83" s="1" t="n">
        <f aca="false">IF(A83&lt;$F$7, 0, IF(AND($B$21=1, A83&gt;$B$19), 0, $E$7 * $G$7^((A83-$F$7)/12)))</f>
        <v>16.8402843009578</v>
      </c>
      <c r="H83" s="1" t="n">
        <f aca="false">IF(A83&lt;$F$8, 0, IF(AND($B$21=1, A83&gt;$B$19), 0, $E$8 * $G$8^((A83-$F$8)/12)))</f>
        <v>14.3478888906771</v>
      </c>
      <c r="I83" s="1" t="n">
        <f aca="false">IF(A83&lt;$F$9, 0, IF(AND($B$21=1, A83&gt;$B$19), 0, $E$9 * $G$9^((A83-$F$9)/12)))</f>
        <v>15.1465955760334</v>
      </c>
      <c r="J83" s="1" t="n">
        <f aca="false">IF(A83&lt;$F$10, 0, IF(AND($B$21=1, A83&gt;$B$19), 0, $E$10 * $G$10^((A83-$F$10)/12)))</f>
        <v>16.4546562639495</v>
      </c>
      <c r="K83" s="1" t="n">
        <f aca="false">IF(A83&lt;$F$11, 0, IF(AND($B$21=1, A83&gt;$B$19), 0, $E$11 * $G$11^((A83-$F$11)/12)))</f>
        <v>0</v>
      </c>
      <c r="L83" s="1" t="n">
        <f aca="false">IF(A83&lt;$F$12, 0, IF(AND($B$21=1, A83&gt;$B$19), 0, $E$12 * $G$12^((A83-$F$12)/12)))</f>
        <v>0</v>
      </c>
      <c r="M83" s="1" t="n">
        <f aca="false">IF(A83&lt;$F$13, 0, IF(AND($B$21=1, A83&gt;$B$19), 0, $E$13 * $G$13^((A83-$F$13)/12)))</f>
        <v>0</v>
      </c>
      <c r="N83" s="1" t="n">
        <f aca="false">IF(A83&lt;$F$14, 0, IF(AND($B$21=1, A83&gt;$B$19), 0, $E$14 * $G$14^((A83-$F$14)/12)))</f>
        <v>0</v>
      </c>
      <c r="O83" s="1" t="n">
        <f aca="false">SUM(F83:N83)</f>
        <v>83.0652280615536</v>
      </c>
      <c r="P83" s="1" t="n">
        <f aca="false">O83/12</f>
        <v>6.9221023384628</v>
      </c>
      <c r="Q83" s="1" t="n">
        <f aca="false">P83*$B$8</f>
        <v>0.69221023384628</v>
      </c>
      <c r="R83" s="1" t="n">
        <f aca="false">P83*$B$9</f>
        <v>0.34610511692314</v>
      </c>
      <c r="S83" s="1" t="n">
        <f aca="false">P83*$B$10</f>
        <v>0.415326140307768</v>
      </c>
      <c r="T83" s="1" t="n">
        <f aca="false">P83-Q83-R83-S83-D83-E83</f>
        <v>4.80611825479302</v>
      </c>
      <c r="U83" s="1" t="n">
        <f aca="false">MAX(0, T83 - $B$7*P83)</f>
        <v>0</v>
      </c>
      <c r="V83" s="1" t="n">
        <f aca="false">T83-U83</f>
        <v>4.80611825479302</v>
      </c>
      <c r="W83" s="1" t="n">
        <f aca="false"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>0</v>
      </c>
      <c r="X83" s="1" t="n">
        <f aca="false">V83-W83-C83</f>
        <v>4.80611825479302</v>
      </c>
      <c r="Y83" s="1" t="n">
        <f aca="false">IF(AND(A83&lt;=$F$10, X83&gt;0), X83*$B$23, 0)</f>
        <v>0</v>
      </c>
      <c r="Z83" s="1" t="n">
        <f aca="false">X83-Y83+IF(A83=$F$10+1, MAX(0, SUM(INDEX(Y:Y,31):INDEX(Y:Y,30+$F$10)) - ('1. Press Assumptions'!$D$93*'1. Press Assumptions'!$E$93 - '1. Press Assumptions'!$D$93*0.1154*0.5)), 0)</f>
        <v>4.80611825479302</v>
      </c>
      <c r="AA83" s="1" t="n">
        <f aca="false">IF(AND(A83=$B$19, $B$21=1), O83*$B$20, 0)</f>
        <v>0</v>
      </c>
      <c r="AB83" s="1" t="n">
        <f aca="false">AB82+Z83+AA83</f>
        <v>151.915404596738</v>
      </c>
    </row>
    <row r="84" customFormat="false" ht="15" hidden="false" customHeight="true" outlineLevel="0" collapsed="false">
      <c r="A84" s="1" t="n">
        <v>54</v>
      </c>
      <c r="B84" s="1" t="n">
        <f aca="false">CEILING(A84/12,1)</f>
        <v>5</v>
      </c>
      <c r="C84" s="1" t="n">
        <f aca="false">IF(A84&lt;=18, $B$15/12, 0)</f>
        <v>0</v>
      </c>
      <c r="D84" s="1" t="n">
        <f aca="false">INDEX('26. Team Comp'!$D$28:$R$28, B84) * 0.001 / 12</f>
        <v>0.636416666666667</v>
      </c>
      <c r="E84" s="1" t="n">
        <f aca="false"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>0.012962962962963</v>
      </c>
      <c r="F84" s="1" t="n">
        <f aca="false">IF(A84&lt;$F$6, 0, IF(AND($B$21=1, A84&gt;$B$19), 0, $E$6 * $G$6^((A84-$F$6)/12)))</f>
        <v>20.1893202665422</v>
      </c>
      <c r="G84" s="1" t="n">
        <f aca="false">IF(A84&lt;$F$7, 0, IF(AND($B$21=1, A84&gt;$B$19), 0, $E$7 * $G$7^((A84-$F$7)/12)))</f>
        <v>16.6930730872323</v>
      </c>
      <c r="H84" s="1" t="n">
        <f aca="false">IF(A84&lt;$F$8, 0, IF(AND($B$21=1, A84&gt;$B$19), 0, $E$8 * $G$8^((A84-$F$8)/12)))</f>
        <v>14.1548818495875</v>
      </c>
      <c r="I84" s="1" t="n">
        <f aca="false">IF(A84&lt;$F$9, 0, IF(AND($B$21=1, A84&gt;$B$19), 0, $E$9 * $G$9^((A84-$F$9)/12)))</f>
        <v>14.9428443749344</v>
      </c>
      <c r="J84" s="1" t="n">
        <f aca="false">IF(A84&lt;$F$10, 0, IF(AND($B$21=1, A84&gt;$B$19), 0, $E$10 * $G$10^((A84-$F$10)/12)))</f>
        <v>16.3844719096085</v>
      </c>
      <c r="K84" s="1" t="n">
        <f aca="false">IF(A84&lt;$F$11, 0, IF(AND($B$21=1, A84&gt;$B$19), 0, $E$11 * $G$11^((A84-$F$11)/12)))</f>
        <v>0</v>
      </c>
      <c r="L84" s="1" t="n">
        <f aca="false">IF(A84&lt;$F$12, 0, IF(AND($B$21=1, A84&gt;$B$19), 0, $E$12 * $G$12^((A84-$F$12)/12)))</f>
        <v>0</v>
      </c>
      <c r="M84" s="1" t="n">
        <f aca="false">IF(A84&lt;$F$13, 0, IF(AND($B$21=1, A84&gt;$B$19), 0, $E$13 * $G$13^((A84-$F$13)/12)))</f>
        <v>0</v>
      </c>
      <c r="N84" s="1" t="n">
        <f aca="false">IF(A84&lt;$F$14, 0, IF(AND($B$21=1, A84&gt;$B$19), 0, $E$14 * $G$14^((A84-$F$14)/12)))</f>
        <v>0</v>
      </c>
      <c r="O84" s="1" t="n">
        <f aca="false">SUM(F84:N84)</f>
        <v>82.3645914879049</v>
      </c>
      <c r="P84" s="1" t="n">
        <f aca="false">O84/12</f>
        <v>6.86371595732541</v>
      </c>
      <c r="Q84" s="1" t="n">
        <f aca="false">P84*$B$8</f>
        <v>0.686371595732541</v>
      </c>
      <c r="R84" s="1" t="n">
        <f aca="false">P84*$B$9</f>
        <v>0.34318579786627</v>
      </c>
      <c r="S84" s="1" t="n">
        <f aca="false">P84*$B$10</f>
        <v>0.411822957439524</v>
      </c>
      <c r="T84" s="1" t="n">
        <f aca="false">P84-Q84-R84-S84-D84-E84</f>
        <v>4.77295597665744</v>
      </c>
      <c r="U84" s="1" t="n">
        <f aca="false">MAX(0, T84 - $B$7*P84)</f>
        <v>0</v>
      </c>
      <c r="V84" s="1" t="n">
        <f aca="false">T84-U84</f>
        <v>4.77295597665744</v>
      </c>
      <c r="W84" s="1" t="n">
        <f aca="false"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>0</v>
      </c>
      <c r="X84" s="1" t="n">
        <f aca="false">V84-W84-C84</f>
        <v>4.77295597665744</v>
      </c>
      <c r="Y84" s="1" t="n">
        <f aca="false">IF(AND(A84&lt;=$F$10, X84&gt;0), X84*$B$23, 0)</f>
        <v>0</v>
      </c>
      <c r="Z84" s="1" t="n">
        <f aca="false">X84-Y84+IF(A84=$F$10+1, MAX(0, SUM(INDEX(Y:Y,31):INDEX(Y:Y,30+$F$10)) - ('1. Press Assumptions'!$D$93*'1. Press Assumptions'!$E$93 - '1. Press Assumptions'!$D$93*0.1154*0.5)), 0)</f>
        <v>4.77295597665744</v>
      </c>
      <c r="AA84" s="1" t="n">
        <f aca="false">IF(AND(A84=$B$19, $B$21=1), O84*$B$20, 0)</f>
        <v>0</v>
      </c>
      <c r="AB84" s="1" t="n">
        <f aca="false">AB83+Z84+AA84</f>
        <v>156.688360573396</v>
      </c>
    </row>
    <row r="85" customFormat="false" ht="15" hidden="false" customHeight="true" outlineLevel="0" collapsed="false">
      <c r="A85" s="1" t="n">
        <v>55</v>
      </c>
      <c r="B85" s="1" t="n">
        <f aca="false">CEILING(A85/12,1)</f>
        <v>5</v>
      </c>
      <c r="C85" s="1" t="n">
        <f aca="false">IF(A85&lt;=18, $B$15/12, 0)</f>
        <v>0</v>
      </c>
      <c r="D85" s="1" t="n">
        <f aca="false">INDEX('26. Team Comp'!$D$28:$R$28, B85) * 0.001 / 12</f>
        <v>0.636416666666667</v>
      </c>
      <c r="E85" s="1" t="n">
        <f aca="false"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>0</v>
      </c>
      <c r="F85" s="1" t="n">
        <f aca="false">IF(A85&lt;$F$6, 0, IF(AND($B$21=1, A85&gt;$B$19), 0, $E$6 * $G$6^((A85-$F$6)/12)))</f>
        <v>20.1032063797031</v>
      </c>
      <c r="G85" s="1" t="n">
        <f aca="false">IF(A85&lt;$F$7, 0, IF(AND($B$21=1, A85&gt;$B$19), 0, $E$7 * $G$7^((A85-$F$7)/12)))</f>
        <v>16.5471487366654</v>
      </c>
      <c r="H85" s="1" t="n">
        <f aca="false">IF(A85&lt;$F$8, 0, IF(AND($B$21=1, A85&gt;$B$19), 0, $E$8 * $G$8^((A85-$F$8)/12)))</f>
        <v>13.9644711289876</v>
      </c>
      <c r="I85" s="1" t="n">
        <f aca="false">IF(A85&lt;$F$9, 0, IF(AND($B$21=1, A85&gt;$B$19), 0, $E$9 * $G$9^((A85-$F$9)/12)))</f>
        <v>14.7418340241962</v>
      </c>
      <c r="J85" s="1" t="n">
        <f aca="false">IF(A85&lt;$F$10, 0, IF(AND($B$21=1, A85&gt;$B$19), 0, $E$10 * $G$10^((A85-$F$10)/12)))</f>
        <v>16.3145869139121</v>
      </c>
      <c r="K85" s="1" t="n">
        <f aca="false">IF(A85&lt;$F$11, 0, IF(AND($B$21=1, A85&gt;$B$19), 0, $E$11 * $G$11^((A85-$F$11)/12)))</f>
        <v>0</v>
      </c>
      <c r="L85" s="1" t="n">
        <f aca="false">IF(A85&lt;$F$12, 0, IF(AND($B$21=1, A85&gt;$B$19), 0, $E$12 * $G$12^((A85-$F$12)/12)))</f>
        <v>0</v>
      </c>
      <c r="M85" s="1" t="n">
        <f aca="false">IF(A85&lt;$F$13, 0, IF(AND($B$21=1, A85&gt;$B$19), 0, $E$13 * $G$13^((A85-$F$13)/12)))</f>
        <v>0</v>
      </c>
      <c r="N85" s="1" t="n">
        <f aca="false">IF(A85&lt;$F$14, 0, IF(AND($B$21=1, A85&gt;$B$19), 0, $E$14 * $G$14^((A85-$F$14)/12)))</f>
        <v>0</v>
      </c>
      <c r="O85" s="1" t="n">
        <f aca="false">SUM(F85:N85)</f>
        <v>81.6712471834643</v>
      </c>
      <c r="P85" s="1" t="n">
        <f aca="false">O85/12</f>
        <v>6.80593726528869</v>
      </c>
      <c r="Q85" s="1" t="n">
        <f aca="false">P85*$B$8</f>
        <v>0.680593726528869</v>
      </c>
      <c r="R85" s="1" t="n">
        <f aca="false">P85*$B$9</f>
        <v>0.340296863264435</v>
      </c>
      <c r="S85" s="1" t="n">
        <f aca="false">P85*$B$10</f>
        <v>0.408356235917321</v>
      </c>
      <c r="T85" s="1" t="n">
        <f aca="false">P85-Q85-R85-S85-D85-E85</f>
        <v>4.7402737729114</v>
      </c>
      <c r="U85" s="1" t="n">
        <f aca="false">MAX(0, T85 - $B$7*P85)</f>
        <v>0</v>
      </c>
      <c r="V85" s="1" t="n">
        <f aca="false">T85-U85</f>
        <v>4.7402737729114</v>
      </c>
      <c r="W85" s="1" t="n">
        <f aca="false"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>0</v>
      </c>
      <c r="X85" s="1" t="n">
        <f aca="false">V85-W85-C85</f>
        <v>4.7402737729114</v>
      </c>
      <c r="Y85" s="1" t="n">
        <f aca="false">IF(AND(A85&lt;=$F$10, X85&gt;0), X85*$B$23, 0)</f>
        <v>0</v>
      </c>
      <c r="Z85" s="1" t="n">
        <f aca="false">X85-Y85+IF(A85=$F$10+1, MAX(0, SUM(INDEX(Y:Y,31):INDEX(Y:Y,30+$F$10)) - ('1. Press Assumptions'!$D$93*'1. Press Assumptions'!$E$93 - '1. Press Assumptions'!$D$93*0.1154*0.5)), 0)</f>
        <v>4.7402737729114</v>
      </c>
      <c r="AA85" s="1" t="n">
        <f aca="false">IF(AND(A85=$B$19, $B$21=1), O85*$B$20, 0)</f>
        <v>0</v>
      </c>
      <c r="AB85" s="1" t="n">
        <f aca="false">AB84+Z85+AA85</f>
        <v>161.428634346307</v>
      </c>
    </row>
    <row r="86" customFormat="false" ht="15" hidden="false" customHeight="true" outlineLevel="0" collapsed="false">
      <c r="A86" s="1" t="n">
        <v>56</v>
      </c>
      <c r="B86" s="1" t="n">
        <f aca="false">CEILING(A86/12,1)</f>
        <v>5</v>
      </c>
      <c r="C86" s="1" t="n">
        <f aca="false">IF(A86&lt;=18, $B$15/12, 0)</f>
        <v>0</v>
      </c>
      <c r="D86" s="1" t="n">
        <f aca="false">INDEX('26. Team Comp'!$D$28:$R$28, B86) * 0.001 / 12</f>
        <v>0.636416666666667</v>
      </c>
      <c r="E86" s="1" t="n">
        <f aca="false"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>0</v>
      </c>
      <c r="F86" s="1" t="n">
        <f aca="false">IF(A86&lt;$F$6, 0, IF(AND($B$21=1, A86&gt;$B$19), 0, $E$6 * $G$6^((A86-$F$6)/12)))</f>
        <v>20.0174597960426</v>
      </c>
      <c r="G86" s="1" t="n">
        <f aca="false">IF(A86&lt;$F$7, 0, IF(AND($B$21=1, A86&gt;$B$19), 0, $E$7 * $G$7^((A86-$F$7)/12)))</f>
        <v>16.4025</v>
      </c>
      <c r="H86" s="1" t="n">
        <f aca="false">IF(A86&lt;$F$8, 0, IF(AND($B$21=1, A86&gt;$B$19), 0, $E$8 * $G$8^((A86-$F$8)/12)))</f>
        <v>13.7766218033117</v>
      </c>
      <c r="I86" s="1" t="n">
        <f aca="false">IF(A86&lt;$F$9, 0, IF(AND($B$21=1, A86&gt;$B$19), 0, $E$9 * $G$9^((A86-$F$9)/12)))</f>
        <v>14.5435276540449</v>
      </c>
      <c r="J86" s="1" t="n">
        <f aca="false">IF(A86&lt;$F$10, 0, IF(AND($B$21=1, A86&gt;$B$19), 0, $E$10 * $G$10^((A86-$F$10)/12)))</f>
        <v>16.245</v>
      </c>
      <c r="K86" s="1" t="n">
        <f aca="false">IF(A86&lt;$F$11, 0, IF(AND($B$21=1, A86&gt;$B$19), 0, $E$11 * $G$11^((A86-$F$11)/12)))</f>
        <v>0</v>
      </c>
      <c r="L86" s="1" t="n">
        <f aca="false">IF(A86&lt;$F$12, 0, IF(AND($B$21=1, A86&gt;$B$19), 0, $E$12 * $G$12^((A86-$F$12)/12)))</f>
        <v>0</v>
      </c>
      <c r="M86" s="1" t="n">
        <f aca="false">IF(A86&lt;$F$13, 0, IF(AND($B$21=1, A86&gt;$B$19), 0, $E$13 * $G$13^((A86-$F$13)/12)))</f>
        <v>0</v>
      </c>
      <c r="N86" s="1" t="n">
        <f aca="false">IF(A86&lt;$F$14, 0, IF(AND($B$21=1, A86&gt;$B$19), 0, $E$14 * $G$14^((A86-$F$14)/12)))</f>
        <v>0</v>
      </c>
      <c r="O86" s="1" t="n">
        <f aca="false">SUM(F86:N86)</f>
        <v>80.9851092533991</v>
      </c>
      <c r="P86" s="1" t="n">
        <f aca="false">O86/12</f>
        <v>6.74875910444993</v>
      </c>
      <c r="Q86" s="1" t="n">
        <f aca="false">P86*$B$8</f>
        <v>0.674875910444993</v>
      </c>
      <c r="R86" s="1" t="n">
        <f aca="false">P86*$B$9</f>
        <v>0.337437955222496</v>
      </c>
      <c r="S86" s="1" t="n">
        <f aca="false">P86*$B$10</f>
        <v>0.404925546266996</v>
      </c>
      <c r="T86" s="1" t="n">
        <f aca="false">P86-Q86-R86-S86-D86-E86</f>
        <v>4.69510302584878</v>
      </c>
      <c r="U86" s="1" t="n">
        <f aca="false">MAX(0, T86 - $B$7*P86)</f>
        <v>0</v>
      </c>
      <c r="V86" s="1" t="n">
        <f aca="false">T86-U86</f>
        <v>4.69510302584878</v>
      </c>
      <c r="W86" s="1" t="n">
        <f aca="false"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>0</v>
      </c>
      <c r="X86" s="1" t="n">
        <f aca="false">V86-W86-C86</f>
        <v>4.69510302584878</v>
      </c>
      <c r="Y86" s="1" t="n">
        <f aca="false">IF(AND(A86&lt;=$F$10, X86&gt;0), X86*$B$23, 0)</f>
        <v>0</v>
      </c>
      <c r="Z86" s="1" t="n">
        <f aca="false">X86-Y86+IF(A86=$F$10+1, MAX(0, SUM(INDEX(Y:Y,31):INDEX(Y:Y,30+$F$10)) - ('1. Press Assumptions'!$D$93*'1. Press Assumptions'!$E$93 - '1. Press Assumptions'!$D$93*0.1154*0.5)), 0)</f>
        <v>4.69510302584878</v>
      </c>
      <c r="AA86" s="1" t="n">
        <f aca="false">IF(AND(A86=$B$19, $B$21=1), O86*$B$20, 0)</f>
        <v>0</v>
      </c>
      <c r="AB86" s="1" t="n">
        <f aca="false">AB85+Z86+AA86</f>
        <v>166.123737372156</v>
      </c>
    </row>
    <row r="87" customFormat="false" ht="15" hidden="false" customHeight="true" outlineLevel="0" collapsed="false">
      <c r="A87" s="1" t="n">
        <v>57</v>
      </c>
      <c r="B87" s="1" t="n">
        <f aca="false">CEILING(A87/12,1)</f>
        <v>5</v>
      </c>
      <c r="C87" s="1" t="n">
        <f aca="false">IF(A87&lt;=18, $B$15/12, 0)</f>
        <v>0</v>
      </c>
      <c r="D87" s="1" t="n">
        <f aca="false">INDEX('26. Team Comp'!$D$28:$R$28, B87) * 0.001 / 12</f>
        <v>0.636416666666667</v>
      </c>
      <c r="E87" s="1" t="n">
        <f aca="false"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>0</v>
      </c>
      <c r="F87" s="1" t="n">
        <f aca="false">IF(A87&lt;$F$6, 0, IF(AND($B$21=1, A87&gt;$B$19), 0, $E$6 * $G$6^((A87-$F$6)/12)))</f>
        <v>19.9320789488954</v>
      </c>
      <c r="G87" s="1" t="n">
        <f aca="false">IF(A87&lt;$F$7, 0, IF(AND($B$21=1, A87&gt;$B$19), 0, $E$7 * $G$7^((A87-$F$7)/12)))</f>
        <v>16.2591157263156</v>
      </c>
      <c r="H87" s="1" t="n">
        <f aca="false">IF(A87&lt;$F$8, 0, IF(AND($B$21=1, A87&gt;$B$19), 0, $E$8 * $G$8^((A87-$F$8)/12)))</f>
        <v>13.591299416811</v>
      </c>
      <c r="I87" s="1" t="n">
        <f aca="false">IF(A87&lt;$F$9, 0, IF(AND($B$21=1, A87&gt;$B$19), 0, $E$9 * $G$9^((A87-$F$9)/12)))</f>
        <v>14.3478888906771</v>
      </c>
      <c r="J87" s="1" t="n">
        <f aca="false">IF(A87&lt;$F$10, 0, IF(AND($B$21=1, A87&gt;$B$19), 0, $E$10 * $G$10^((A87-$F$10)/12)))</f>
        <v>16.1757098964585</v>
      </c>
      <c r="K87" s="1" t="n">
        <f aca="false">IF(A87&lt;$F$11, 0, IF(AND($B$21=1, A87&gt;$B$19), 0, $E$11 * $G$11^((A87-$F$11)/12)))</f>
        <v>0</v>
      </c>
      <c r="L87" s="1" t="n">
        <f aca="false">IF(A87&lt;$F$12, 0, IF(AND($B$21=1, A87&gt;$B$19), 0, $E$12 * $G$12^((A87-$F$12)/12)))</f>
        <v>0</v>
      </c>
      <c r="M87" s="1" t="n">
        <f aca="false">IF(A87&lt;$F$13, 0, IF(AND($B$21=1, A87&gt;$B$19), 0, $E$13 * $G$13^((A87-$F$13)/12)))</f>
        <v>0</v>
      </c>
      <c r="N87" s="1" t="n">
        <f aca="false">IF(A87&lt;$F$14, 0, IF(AND($B$21=1, A87&gt;$B$19), 0, $E$14 * $G$14^((A87-$F$14)/12)))</f>
        <v>0</v>
      </c>
      <c r="O87" s="1" t="n">
        <f aca="false">SUM(F87:N87)</f>
        <v>80.3060928791576</v>
      </c>
      <c r="P87" s="1" t="n">
        <f aca="false">O87/12</f>
        <v>6.69217440659646</v>
      </c>
      <c r="Q87" s="1" t="n">
        <f aca="false">P87*$B$8</f>
        <v>0.669217440659646</v>
      </c>
      <c r="R87" s="1" t="n">
        <f aca="false">P87*$B$9</f>
        <v>0.334608720329823</v>
      </c>
      <c r="S87" s="1" t="n">
        <f aca="false">P87*$B$10</f>
        <v>0.401530464395788</v>
      </c>
      <c r="T87" s="1" t="n">
        <f aca="false">P87-Q87-R87-S87-D87-E87</f>
        <v>4.65040111454454</v>
      </c>
      <c r="U87" s="1" t="n">
        <f aca="false">MAX(0, T87 - $B$7*P87)</f>
        <v>0</v>
      </c>
      <c r="V87" s="1" t="n">
        <f aca="false">T87-U87</f>
        <v>4.65040111454454</v>
      </c>
      <c r="W87" s="1" t="n">
        <f aca="false"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>0</v>
      </c>
      <c r="X87" s="1" t="n">
        <f aca="false">V87-W87-C87</f>
        <v>4.65040111454454</v>
      </c>
      <c r="Y87" s="1" t="n">
        <f aca="false">IF(AND(A87&lt;=$F$10, X87&gt;0), X87*$B$23, 0)</f>
        <v>0</v>
      </c>
      <c r="Z87" s="1" t="n">
        <f aca="false">X87-Y87+IF(A87=$F$10+1, MAX(0, SUM(INDEX(Y:Y,31):INDEX(Y:Y,30+$F$10)) - ('1. Press Assumptions'!$D$93*'1. Press Assumptions'!$E$93 - '1. Press Assumptions'!$D$93*0.1154*0.5)), 0)</f>
        <v>4.65040111454454</v>
      </c>
      <c r="AA87" s="1" t="n">
        <f aca="false">IF(AND(A87=$B$19, $B$21=1), O87*$B$20, 0)</f>
        <v>0</v>
      </c>
      <c r="AB87" s="1" t="n">
        <f aca="false">AB86+Z87+AA87</f>
        <v>170.774138486701</v>
      </c>
    </row>
    <row r="88" customFormat="false" ht="15" hidden="false" customHeight="true" outlineLevel="0" collapsed="false">
      <c r="A88" s="1" t="n">
        <v>58</v>
      </c>
      <c r="B88" s="1" t="n">
        <f aca="false">CEILING(A88/12,1)</f>
        <v>5</v>
      </c>
      <c r="C88" s="1" t="n">
        <f aca="false">IF(A88&lt;=18, $B$15/12, 0)</f>
        <v>0</v>
      </c>
      <c r="D88" s="1" t="n">
        <f aca="false">INDEX('26. Team Comp'!$D$28:$R$28, B88) * 0.001 / 12</f>
        <v>0.636416666666667</v>
      </c>
      <c r="E88" s="1" t="n">
        <f aca="false"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>0</v>
      </c>
      <c r="F88" s="1" t="n">
        <f aca="false">IF(A88&lt;$F$6, 0, IF(AND($B$21=1, A88&gt;$B$19), 0, $E$6 * $G$6^((A88-$F$6)/12)))</f>
        <v>19.8470622782789</v>
      </c>
      <c r="G88" s="1" t="n">
        <f aca="false">IF(A88&lt;$F$7, 0, IF(AND($B$21=1, A88&gt;$B$19), 0, $E$7 * $G$7^((A88-$F$7)/12)))</f>
        <v>16.1169848621687</v>
      </c>
      <c r="H88" s="1" t="n">
        <f aca="false">IF(A88&lt;$F$8, 0, IF(AND($B$21=1, A88&gt;$B$19), 0, $E$8 * $G$8^((A88-$F$8)/12)))</f>
        <v>13.4084699772336</v>
      </c>
      <c r="I88" s="1" t="n">
        <f aca="false">IF(A88&lt;$F$9, 0, IF(AND($B$21=1, A88&gt;$B$19), 0, $E$9 * $G$9^((A88-$F$9)/12)))</f>
        <v>14.1548818495875</v>
      </c>
      <c r="J88" s="1" t="n">
        <f aca="false">IF(A88&lt;$F$10, 0, IF(AND($B$21=1, A88&gt;$B$19), 0, $E$10 * $G$10^((A88-$F$10)/12)))</f>
        <v>16.1067153372968</v>
      </c>
      <c r="K88" s="1" t="n">
        <f aca="false">IF(A88&lt;$F$11, 0, IF(AND($B$21=1, A88&gt;$B$19), 0, $E$11 * $G$11^((A88-$F$11)/12)))</f>
        <v>0</v>
      </c>
      <c r="L88" s="1" t="n">
        <f aca="false">IF(A88&lt;$F$12, 0, IF(AND($B$21=1, A88&gt;$B$19), 0, $E$12 * $G$12^((A88-$F$12)/12)))</f>
        <v>0</v>
      </c>
      <c r="M88" s="1" t="n">
        <f aca="false">IF(A88&lt;$F$13, 0, IF(AND($B$21=1, A88&gt;$B$19), 0, $E$13 * $G$13^((A88-$F$13)/12)))</f>
        <v>0</v>
      </c>
      <c r="N88" s="1" t="n">
        <f aca="false">IF(A88&lt;$F$14, 0, IF(AND($B$21=1, A88&gt;$B$19), 0, $E$14 * $G$14^((A88-$F$14)/12)))</f>
        <v>0</v>
      </c>
      <c r="O88" s="1" t="n">
        <f aca="false">SUM(F88:N88)</f>
        <v>79.6341143045655</v>
      </c>
      <c r="P88" s="1" t="n">
        <f aca="false">O88/12</f>
        <v>6.63617619204712</v>
      </c>
      <c r="Q88" s="1" t="n">
        <f aca="false">P88*$B$8</f>
        <v>0.663617619204712</v>
      </c>
      <c r="R88" s="1" t="n">
        <f aca="false">P88*$B$9</f>
        <v>0.331808809602356</v>
      </c>
      <c r="S88" s="1" t="n">
        <f aca="false">P88*$B$10</f>
        <v>0.398170571522827</v>
      </c>
      <c r="T88" s="1" t="n">
        <f aca="false">P88-Q88-R88-S88-D88-E88</f>
        <v>4.60616252505056</v>
      </c>
      <c r="U88" s="1" t="n">
        <f aca="false">MAX(0, T88 - $B$7*P88)</f>
        <v>0</v>
      </c>
      <c r="V88" s="1" t="n">
        <f aca="false">T88-U88</f>
        <v>4.60616252505056</v>
      </c>
      <c r="W88" s="1" t="n">
        <f aca="false"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>0</v>
      </c>
      <c r="X88" s="1" t="n">
        <f aca="false">V88-W88-C88</f>
        <v>4.60616252505056</v>
      </c>
      <c r="Y88" s="1" t="n">
        <f aca="false">IF(AND(A88&lt;=$F$10, X88&gt;0), X88*$B$23, 0)</f>
        <v>0</v>
      </c>
      <c r="Z88" s="1" t="n">
        <f aca="false">X88-Y88+IF(A88=$F$10+1, MAX(0, SUM(INDEX(Y:Y,31):INDEX(Y:Y,30+$F$10)) - ('1. Press Assumptions'!$D$93*'1. Press Assumptions'!$E$93 - '1. Press Assumptions'!$D$93*0.1154*0.5)), 0)</f>
        <v>4.60616252505056</v>
      </c>
      <c r="AA88" s="1" t="n">
        <f aca="false">IF(AND(A88=$B$19, $B$21=1), O88*$B$20, 0)</f>
        <v>0</v>
      </c>
      <c r="AB88" s="1" t="n">
        <f aca="false">AB87+Z88+AA88</f>
        <v>175.380301011751</v>
      </c>
    </row>
    <row r="89" customFormat="false" ht="15" hidden="false" customHeight="true" outlineLevel="0" collapsed="false">
      <c r="A89" s="1" t="n">
        <v>59</v>
      </c>
      <c r="B89" s="1" t="n">
        <f aca="false">CEILING(A89/12,1)</f>
        <v>5</v>
      </c>
      <c r="C89" s="1" t="n">
        <f aca="false">IF(A89&lt;=18, $B$15/12, 0)</f>
        <v>0</v>
      </c>
      <c r="D89" s="1" t="n">
        <f aca="false">INDEX('26. Team Comp'!$D$28:$R$28, B89) * 0.001 / 12</f>
        <v>0.636416666666667</v>
      </c>
      <c r="E89" s="1" t="n">
        <f aca="false"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>0</v>
      </c>
      <c r="F89" s="1" t="n">
        <f aca="false">IF(A89&lt;$F$6, 0, IF(AND($B$21=1, A89&gt;$B$19), 0, $E$6 * $G$6^((A89-$F$6)/12)))</f>
        <v>19.7624082308639</v>
      </c>
      <c r="G89" s="1" t="n">
        <f aca="false">IF(A89&lt;$F$7, 0, IF(AND($B$21=1, A89&gt;$B$19), 0, $E$7 * $G$7^((A89-$F$7)/12)))</f>
        <v>15.9760964507409</v>
      </c>
      <c r="H89" s="1" t="n">
        <f aca="false">IF(A89&lt;$F$8, 0, IF(AND($B$21=1, A89&gt;$B$19), 0, $E$8 * $G$8^((A89-$F$8)/12)))</f>
        <v>13.2280999495896</v>
      </c>
      <c r="I89" s="1" t="n">
        <f aca="false">IF(A89&lt;$F$9, 0, IF(AND($B$21=1, A89&gt;$B$19), 0, $E$9 * $G$9^((A89-$F$9)/12)))</f>
        <v>13.9644711289876</v>
      </c>
      <c r="J89" s="1" t="n">
        <f aca="false">IF(A89&lt;$F$10, 0, IF(AND($B$21=1, A89&gt;$B$19), 0, $E$10 * $G$10^((A89-$F$10)/12)))</f>
        <v>16.0380150619238</v>
      </c>
      <c r="K89" s="1" t="n">
        <f aca="false">IF(A89&lt;$F$11, 0, IF(AND($B$21=1, A89&gt;$B$19), 0, $E$11 * $G$11^((A89-$F$11)/12)))</f>
        <v>0</v>
      </c>
      <c r="L89" s="1" t="n">
        <f aca="false">IF(A89&lt;$F$12, 0, IF(AND($B$21=1, A89&gt;$B$19), 0, $E$12 * $G$12^((A89-$F$12)/12)))</f>
        <v>0</v>
      </c>
      <c r="M89" s="1" t="n">
        <f aca="false">IF(A89&lt;$F$13, 0, IF(AND($B$21=1, A89&gt;$B$19), 0, $E$13 * $G$13^((A89-$F$13)/12)))</f>
        <v>0</v>
      </c>
      <c r="N89" s="1" t="n">
        <f aca="false">IF(A89&lt;$F$14, 0, IF(AND($B$21=1, A89&gt;$B$19), 0, $E$14 * $G$14^((A89-$F$14)/12)))</f>
        <v>0</v>
      </c>
      <c r="O89" s="1" t="n">
        <f aca="false">SUM(F89:N89)</f>
        <v>78.9690908221058</v>
      </c>
      <c r="P89" s="1" t="n">
        <f aca="false">O89/12</f>
        <v>6.58075756850882</v>
      </c>
      <c r="Q89" s="1" t="n">
        <f aca="false">P89*$B$8</f>
        <v>0.658075756850882</v>
      </c>
      <c r="R89" s="1" t="n">
        <f aca="false">P89*$B$9</f>
        <v>0.329037878425441</v>
      </c>
      <c r="S89" s="1" t="n">
        <f aca="false">P89*$B$10</f>
        <v>0.394845454110529</v>
      </c>
      <c r="T89" s="1" t="n">
        <f aca="false">P89-Q89-R89-S89-D89-E89</f>
        <v>4.5623818124553</v>
      </c>
      <c r="U89" s="1" t="n">
        <f aca="false">MAX(0, T89 - $B$7*P89)</f>
        <v>0</v>
      </c>
      <c r="V89" s="1" t="n">
        <f aca="false">T89-U89</f>
        <v>4.5623818124553</v>
      </c>
      <c r="W89" s="1" t="n">
        <f aca="false"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>0</v>
      </c>
      <c r="X89" s="1" t="n">
        <f aca="false">V89-W89-C89</f>
        <v>4.5623818124553</v>
      </c>
      <c r="Y89" s="1" t="n">
        <f aca="false">IF(AND(A89&lt;=$F$10, X89&gt;0), X89*$B$23, 0)</f>
        <v>0</v>
      </c>
      <c r="Z89" s="1" t="n">
        <f aca="false">X89-Y89+IF(A89=$F$10+1, MAX(0, SUM(INDEX(Y:Y,31):INDEX(Y:Y,30+$F$10)) - ('1. Press Assumptions'!$D$93*'1. Press Assumptions'!$E$93 - '1. Press Assumptions'!$D$93*0.1154*0.5)), 0)</f>
        <v>4.5623818124553</v>
      </c>
      <c r="AA89" s="1" t="n">
        <f aca="false">IF(AND(A89=$B$19, $B$21=1), O89*$B$20, 0)</f>
        <v>0</v>
      </c>
      <c r="AB89" s="1" t="n">
        <f aca="false">AB88+Z89+AA89</f>
        <v>179.942682824206</v>
      </c>
    </row>
    <row r="90" customFormat="false" ht="15" hidden="false" customHeight="true" outlineLevel="0" collapsed="false">
      <c r="A90" s="1" t="n">
        <v>60</v>
      </c>
      <c r="B90" s="1" t="n">
        <f aca="false">CEILING(A90/12,1)</f>
        <v>5</v>
      </c>
      <c r="C90" s="1" t="n">
        <f aca="false">IF(A90&lt;=18, $B$15/12, 0)</f>
        <v>0</v>
      </c>
      <c r="D90" s="1" t="n">
        <f aca="false">INDEX('26. Team Comp'!$D$28:$R$28, B90) * 0.001 / 12</f>
        <v>0.636416666666667</v>
      </c>
      <c r="E90" s="1" t="n">
        <f aca="false"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>0</v>
      </c>
      <c r="F90" s="1" t="n">
        <f aca="false">IF(A90&lt;$F$6, 0, IF(AND($B$21=1, A90&gt;$B$19), 0, $E$6 * $G$6^((A90-$F$6)/12)))</f>
        <v>19.678115259947</v>
      </c>
      <c r="G90" s="1" t="n">
        <f aca="false">IF(A90&lt;$F$7, 0, IF(AND($B$21=1, A90&gt;$B$19), 0, $E$7 * $G$7^((A90-$F$7)/12)))</f>
        <v>15.8364396309938</v>
      </c>
      <c r="H90" s="1" t="n">
        <f aca="false">IF(A90&lt;$F$8, 0, IF(AND($B$21=1, A90&gt;$B$19), 0, $E$8 * $G$8^((A90-$F$8)/12)))</f>
        <v>13.05015625</v>
      </c>
      <c r="I90" s="1" t="n">
        <f aca="false">IF(A90&lt;$F$9, 0, IF(AND($B$21=1, A90&gt;$B$19), 0, $E$9 * $G$9^((A90-$F$9)/12)))</f>
        <v>13.7766218033117</v>
      </c>
      <c r="J90" s="1" t="n">
        <f aca="false">IF(A90&lt;$F$10, 0, IF(AND($B$21=1, A90&gt;$B$19), 0, $E$10 * $G$10^((A90-$F$10)/12)))</f>
        <v>15.9696078151254</v>
      </c>
      <c r="K90" s="1" t="n">
        <f aca="false">IF(A90&lt;$F$11, 0, IF(AND($B$21=1, A90&gt;$B$19), 0, $E$11 * $G$11^((A90-$F$11)/12)))</f>
        <v>0</v>
      </c>
      <c r="L90" s="1" t="n">
        <f aca="false">IF(A90&lt;$F$12, 0, IF(AND($B$21=1, A90&gt;$B$19), 0, $E$12 * $G$12^((A90-$F$12)/12)))</f>
        <v>0</v>
      </c>
      <c r="M90" s="1" t="n">
        <f aca="false">IF(A90&lt;$F$13, 0, IF(AND($B$21=1, A90&gt;$B$19), 0, $E$13 * $G$13^((A90-$F$13)/12)))</f>
        <v>0</v>
      </c>
      <c r="N90" s="1" t="n">
        <f aca="false">IF(A90&lt;$F$14, 0, IF(AND($B$21=1, A90&gt;$B$19), 0, $E$14 * $G$14^((A90-$F$14)/12)))</f>
        <v>0</v>
      </c>
      <c r="O90" s="1" t="n">
        <f aca="false">SUM(F90:N90)</f>
        <v>78.3109407593779</v>
      </c>
      <c r="P90" s="1" t="n">
        <f aca="false">O90/12</f>
        <v>6.52591172994816</v>
      </c>
      <c r="Q90" s="1" t="n">
        <f aca="false">P90*$B$8</f>
        <v>0.652591172994816</v>
      </c>
      <c r="R90" s="1" t="n">
        <f aca="false">P90*$B$9</f>
        <v>0.326295586497408</v>
      </c>
      <c r="S90" s="1" t="n">
        <f aca="false">P90*$B$10</f>
        <v>0.391554703796889</v>
      </c>
      <c r="T90" s="1" t="n">
        <f aca="false">P90-Q90-R90-S90-D90-E90</f>
        <v>4.51905359999238</v>
      </c>
      <c r="U90" s="1" t="n">
        <f aca="false">MAX(0, T90 - $B$7*P90)</f>
        <v>0</v>
      </c>
      <c r="V90" s="1" t="n">
        <f aca="false">T90-U90</f>
        <v>4.51905359999238</v>
      </c>
      <c r="W90" s="1" t="n">
        <f aca="false"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>0</v>
      </c>
      <c r="X90" s="1" t="n">
        <f aca="false">V90-W90-C90</f>
        <v>4.51905359999238</v>
      </c>
      <c r="Y90" s="1" t="n">
        <f aca="false">IF(AND(A90&lt;=$F$10, X90&gt;0), X90*$B$23, 0)</f>
        <v>0</v>
      </c>
      <c r="Z90" s="1" t="n">
        <f aca="false">X90-Y90+IF(A90=$F$10+1, MAX(0, SUM(INDEX(Y:Y,31):INDEX(Y:Y,30+$F$10)) - ('1. Press Assumptions'!$D$93*'1. Press Assumptions'!$E$93 - '1. Press Assumptions'!$D$93*0.1154*0.5)), 0)</f>
        <v>4.51905359999238</v>
      </c>
      <c r="AA90" s="1" t="n">
        <f aca="false">IF(AND(A90=$B$19, $B$21=1), O90*$B$20, 0)</f>
        <v>0</v>
      </c>
      <c r="AB90" s="1" t="n">
        <f aca="false">AB89+Z90+AA90</f>
        <v>184.461736424199</v>
      </c>
    </row>
    <row r="91" customFormat="false" ht="15" hidden="false" customHeight="true" outlineLevel="0" collapsed="false">
      <c r="A91" s="1" t="n">
        <v>61</v>
      </c>
      <c r="B91" s="1" t="n">
        <f aca="false">CEILING(A91/12,1)</f>
        <v>6</v>
      </c>
      <c r="C91" s="1" t="n">
        <f aca="false">IF(A91&lt;=18, $B$15/12, 0)</f>
        <v>0</v>
      </c>
      <c r="D91" s="1" t="n">
        <f aca="false">INDEX('26. Team Comp'!$D$28:$R$28, B91) * 0.001 / 12</f>
        <v>0.636416666666667</v>
      </c>
      <c r="E91" s="1" t="n">
        <f aca="false"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>0</v>
      </c>
      <c r="F91" s="1" t="n">
        <f aca="false">IF(A91&lt;$F$6, 0, IF(AND($B$21=1, A91&gt;$B$19), 0, $E$6 * $G$6^((A91-$F$6)/12)))</f>
        <v>19.5941818254218</v>
      </c>
      <c r="G91" s="1" t="n">
        <f aca="false">IF(A91&lt;$F$7, 0, IF(AND($B$21=1, A91&gt;$B$19), 0, $E$7 * $G$7^((A91-$F$7)/12)))</f>
        <v>15.6980036368322</v>
      </c>
      <c r="H91" s="1" t="n">
        <f aca="false">IF(A91&lt;$F$8, 0, IF(AND($B$21=1, A91&gt;$B$19), 0, $E$8 * $G$8^((A91-$F$8)/12)))</f>
        <v>12.8746062396284</v>
      </c>
      <c r="I91" s="1" t="n">
        <f aca="false">IF(A91&lt;$F$9, 0, IF(AND($B$21=1, A91&gt;$B$19), 0, $E$9 * $G$9^((A91-$F$9)/12)))</f>
        <v>13.591299416811</v>
      </c>
      <c r="J91" s="1" t="n">
        <f aca="false">IF(A91&lt;$F$10, 0, IF(AND($B$21=1, A91&gt;$B$19), 0, $E$10 * $G$10^((A91-$F$10)/12)))</f>
        <v>15.9014923470412</v>
      </c>
      <c r="K91" s="1" t="n">
        <f aca="false">IF(A91&lt;$F$11, 0, IF(AND($B$21=1, A91&gt;$B$19), 0, $E$11 * $G$11^((A91-$F$11)/12)))</f>
        <v>0</v>
      </c>
      <c r="L91" s="1" t="n">
        <f aca="false">IF(A91&lt;$F$12, 0, IF(AND($B$21=1, A91&gt;$B$19), 0, $E$12 * $G$12^((A91-$F$12)/12)))</f>
        <v>0</v>
      </c>
      <c r="M91" s="1" t="n">
        <f aca="false">IF(A91&lt;$F$13, 0, IF(AND($B$21=1, A91&gt;$B$19), 0, $E$13 * $G$13^((A91-$F$13)/12)))</f>
        <v>0</v>
      </c>
      <c r="N91" s="1" t="n">
        <f aca="false">IF(A91&lt;$F$14, 0, IF(AND($B$21=1, A91&gt;$B$19), 0, $E$14 * $G$14^((A91-$F$14)/12)))</f>
        <v>0</v>
      </c>
      <c r="O91" s="1" t="n">
        <f aca="false">SUM(F91:N91)</f>
        <v>77.6595834657345</v>
      </c>
      <c r="P91" s="1" t="n">
        <f aca="false">O91/12</f>
        <v>6.47163195547787</v>
      </c>
      <c r="Q91" s="1" t="n">
        <f aca="false">P91*$B$8</f>
        <v>0.647163195547787</v>
      </c>
      <c r="R91" s="1" t="n">
        <f aca="false">P91*$B$9</f>
        <v>0.323581597773894</v>
      </c>
      <c r="S91" s="1" t="n">
        <f aca="false">P91*$B$10</f>
        <v>0.388297917328672</v>
      </c>
      <c r="T91" s="1" t="n">
        <f aca="false">P91-Q91-R91-S91-D91-E91</f>
        <v>4.47617257816085</v>
      </c>
      <c r="U91" s="1" t="n">
        <f aca="false">MAX(0, T91 - $B$7*P91)</f>
        <v>0</v>
      </c>
      <c r="V91" s="1" t="n">
        <f aca="false">T91-U91</f>
        <v>4.47617257816085</v>
      </c>
      <c r="W91" s="1" t="n">
        <f aca="false"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>0</v>
      </c>
      <c r="X91" s="1" t="n">
        <f aca="false">V91-W91-C91</f>
        <v>4.47617257816085</v>
      </c>
      <c r="Y91" s="1" t="n">
        <f aca="false">IF(AND(A91&lt;=$F$10, X91&gt;0), X91*$B$23, 0)</f>
        <v>0</v>
      </c>
      <c r="Z91" s="1" t="n">
        <f aca="false">X91-Y91+IF(A91=$F$10+1, MAX(0, SUM(INDEX(Y:Y,31):INDEX(Y:Y,30+$F$10)) - ('1. Press Assumptions'!$D$93*'1. Press Assumptions'!$E$93 - '1. Press Assumptions'!$D$93*0.1154*0.5)), 0)</f>
        <v>4.47617257816085</v>
      </c>
      <c r="AA91" s="1" t="n">
        <f aca="false">IF(AND(A91=$B$19, $B$21=1), O91*$B$20, 0)</f>
        <v>0</v>
      </c>
      <c r="AB91" s="1" t="n">
        <f aca="false">AB90+Z91+AA91</f>
        <v>188.93790900236</v>
      </c>
    </row>
    <row r="92" customFormat="false" ht="15" hidden="false" customHeight="true" outlineLevel="0" collapsed="false">
      <c r="A92" s="1" t="n">
        <v>62</v>
      </c>
      <c r="B92" s="1" t="n">
        <f aca="false">CEILING(A92/12,1)</f>
        <v>6</v>
      </c>
      <c r="C92" s="1" t="n">
        <f aca="false">IF(A92&lt;=18, $B$15/12, 0)</f>
        <v>0</v>
      </c>
      <c r="D92" s="1" t="n">
        <f aca="false">INDEX('26. Team Comp'!$D$28:$R$28, B92) * 0.001 / 12</f>
        <v>0.636416666666667</v>
      </c>
      <c r="E92" s="1" t="n">
        <f aca="false"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>0</v>
      </c>
      <c r="F92" s="1" t="n">
        <f aca="false">IF(A92&lt;$F$6, 0, IF(AND($B$21=1, A92&gt;$B$19), 0, $E$6 * $G$6^((A92-$F$6)/12)))</f>
        <v>19.5106063937508</v>
      </c>
      <c r="G92" s="1" t="n">
        <f aca="false">IF(A92&lt;$F$7, 0, IF(AND($B$21=1, A92&gt;$B$19), 0, $E$7 * $G$7^((A92-$F$7)/12)))</f>
        <v>15.5607777962736</v>
      </c>
      <c r="H92" s="1" t="n">
        <f aca="false">IF(A92&lt;$F$8, 0, IF(AND($B$21=1, A92&gt;$B$19), 0, $E$8 * $G$8^((A92-$F$8)/12)))</f>
        <v>12.7014177186942</v>
      </c>
      <c r="I92" s="1" t="n">
        <f aca="false">IF(A92&lt;$F$9, 0, IF(AND($B$21=1, A92&gt;$B$19), 0, $E$9 * $G$9^((A92-$F$9)/12)))</f>
        <v>13.4084699772336</v>
      </c>
      <c r="J92" s="1" t="n">
        <f aca="false">IF(A92&lt;$F$10, 0, IF(AND($B$21=1, A92&gt;$B$19), 0, $E$10 * $G$10^((A92-$F$10)/12)))</f>
        <v>15.8336674131422</v>
      </c>
      <c r="K92" s="1" t="n">
        <f aca="false">IF(A92&lt;$F$11, 0, IF(AND($B$21=1, A92&gt;$B$19), 0, $E$11 * $G$11^((A92-$F$11)/12)))</f>
        <v>0</v>
      </c>
      <c r="L92" s="1" t="n">
        <f aca="false">IF(A92&lt;$F$12, 0, IF(AND($B$21=1, A92&gt;$B$19), 0, $E$12 * $G$12^((A92-$F$12)/12)))</f>
        <v>0</v>
      </c>
      <c r="M92" s="1" t="n">
        <f aca="false">IF(A92&lt;$F$13, 0, IF(AND($B$21=1, A92&gt;$B$19), 0, $E$13 * $G$13^((A92-$F$13)/12)))</f>
        <v>0</v>
      </c>
      <c r="N92" s="1" t="n">
        <f aca="false">IF(A92&lt;$F$14, 0, IF(AND($B$21=1, A92&gt;$B$19), 0, $E$14 * $G$14^((A92-$F$14)/12)))</f>
        <v>0</v>
      </c>
      <c r="O92" s="1" t="n">
        <f aca="false">SUM(F92:N92)</f>
        <v>77.0149392990944</v>
      </c>
      <c r="P92" s="1" t="n">
        <f aca="false">O92/12</f>
        <v>6.41791160825786</v>
      </c>
      <c r="Q92" s="1" t="n">
        <f aca="false">P92*$B$8</f>
        <v>0.641791160825786</v>
      </c>
      <c r="R92" s="1" t="n">
        <f aca="false">P92*$B$9</f>
        <v>0.320895580412893</v>
      </c>
      <c r="S92" s="1" t="n">
        <f aca="false">P92*$B$10</f>
        <v>0.385074696495472</v>
      </c>
      <c r="T92" s="1" t="n">
        <f aca="false">P92-Q92-R92-S92-D92-E92</f>
        <v>4.43373350385705</v>
      </c>
      <c r="U92" s="1" t="n">
        <f aca="false">MAX(0, T92 - $B$7*P92)</f>
        <v>0</v>
      </c>
      <c r="V92" s="1" t="n">
        <f aca="false">T92-U92</f>
        <v>4.43373350385705</v>
      </c>
      <c r="W92" s="1" t="n">
        <f aca="false"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>0</v>
      </c>
      <c r="X92" s="1" t="n">
        <f aca="false">V92-W92-C92</f>
        <v>4.43373350385705</v>
      </c>
      <c r="Y92" s="1" t="n">
        <f aca="false">IF(AND(A92&lt;=$F$10, X92&gt;0), X92*$B$23, 0)</f>
        <v>0</v>
      </c>
      <c r="Z92" s="1" t="n">
        <f aca="false">X92-Y92+IF(A92=$F$10+1, MAX(0, SUM(INDEX(Y:Y,31):INDEX(Y:Y,30+$F$10)) - ('1. Press Assumptions'!$D$93*'1. Press Assumptions'!$E$93 - '1. Press Assumptions'!$D$93*0.1154*0.5)), 0)</f>
        <v>4.43373350385705</v>
      </c>
      <c r="AA92" s="1" t="n">
        <f aca="false">IF(AND(A92=$B$19, $B$21=1), O92*$B$20, 0)</f>
        <v>0</v>
      </c>
      <c r="AB92" s="1" t="n">
        <f aca="false">AB91+Z92+AA92</f>
        <v>193.371642506217</v>
      </c>
    </row>
    <row r="93" customFormat="false" ht="15" hidden="false" customHeight="true" outlineLevel="0" collapsed="false">
      <c r="A93" s="1" t="n">
        <v>63</v>
      </c>
      <c r="B93" s="1" t="n">
        <f aca="false">CEILING(A93/12,1)</f>
        <v>6</v>
      </c>
      <c r="C93" s="1" t="n">
        <f aca="false">IF(A93&lt;=18, $B$15/12, 0)</f>
        <v>0</v>
      </c>
      <c r="D93" s="1" t="n">
        <f aca="false">INDEX('26. Team Comp'!$D$28:$R$28, B93) * 0.001 / 12</f>
        <v>0.636416666666667</v>
      </c>
      <c r="E93" s="1" t="n">
        <f aca="false"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>0</v>
      </c>
      <c r="F93" s="1" t="n">
        <f aca="false">IF(A93&lt;$F$6, 0, IF(AND($B$21=1, A93&gt;$B$19), 0, $E$6 * $G$6^((A93-$F$6)/12)))</f>
        <v>19.427387437938</v>
      </c>
      <c r="G93" s="1" t="n">
        <f aca="false">IF(A93&lt;$F$7, 0, IF(AND($B$21=1, A93&gt;$B$19), 0, $E$7 * $G$7^((A93-$F$7)/12)))</f>
        <v>15.424751530626</v>
      </c>
      <c r="H93" s="1" t="n">
        <f aca="false">IF(A93&lt;$F$8, 0, IF(AND($B$21=1, A93&gt;$B$19), 0, $E$8 * $G$8^((A93-$F$8)/12)))</f>
        <v>12.5305589205667</v>
      </c>
      <c r="I93" s="1" t="n">
        <f aca="false">IF(A93&lt;$F$9, 0, IF(AND($B$21=1, A93&gt;$B$19), 0, $E$9 * $G$9^((A93-$F$9)/12)))</f>
        <v>13.2280999495896</v>
      </c>
      <c r="J93" s="1" t="n">
        <f aca="false">IF(A93&lt;$F$10, 0, IF(AND($B$21=1, A93&gt;$B$19), 0, $E$10 * $G$10^((A93-$F$10)/12)))</f>
        <v>15.7661317742072</v>
      </c>
      <c r="K93" s="1" t="n">
        <f aca="false">IF(A93&lt;$F$11, 0, IF(AND($B$21=1, A93&gt;$B$19), 0, $E$11 * $G$11^((A93-$F$11)/12)))</f>
        <v>0</v>
      </c>
      <c r="L93" s="1" t="n">
        <f aca="false">IF(A93&lt;$F$12, 0, IF(AND($B$21=1, A93&gt;$B$19), 0, $E$12 * $G$12^((A93-$F$12)/12)))</f>
        <v>0</v>
      </c>
      <c r="M93" s="1" t="n">
        <f aca="false">IF(A93&lt;$F$13, 0, IF(AND($B$21=1, A93&gt;$B$19), 0, $E$13 * $G$13^((A93-$F$13)/12)))</f>
        <v>0</v>
      </c>
      <c r="N93" s="1" t="n">
        <f aca="false">IF(A93&lt;$F$14, 0, IF(AND($B$21=1, A93&gt;$B$19), 0, $E$14 * $G$14^((A93-$F$14)/12)))</f>
        <v>0</v>
      </c>
      <c r="O93" s="1" t="n">
        <f aca="false">SUM(F93:N93)</f>
        <v>76.3769296129276</v>
      </c>
      <c r="P93" s="1" t="n">
        <f aca="false">O93/12</f>
        <v>6.36474413441063</v>
      </c>
      <c r="Q93" s="1" t="n">
        <f aca="false">P93*$B$8</f>
        <v>0.636474413441063</v>
      </c>
      <c r="R93" s="1" t="n">
        <f aca="false">P93*$B$9</f>
        <v>0.318237206720532</v>
      </c>
      <c r="S93" s="1" t="n">
        <f aca="false">P93*$B$10</f>
        <v>0.381884648064638</v>
      </c>
      <c r="T93" s="1" t="n">
        <f aca="false">P93-Q93-R93-S93-D93-E93</f>
        <v>4.39173119951773</v>
      </c>
      <c r="U93" s="1" t="n">
        <f aca="false">MAX(0, T93 - $B$7*P93)</f>
        <v>0</v>
      </c>
      <c r="V93" s="1" t="n">
        <f aca="false">T93-U93</f>
        <v>4.39173119951773</v>
      </c>
      <c r="W93" s="1" t="n">
        <f aca="false"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>0</v>
      </c>
      <c r="X93" s="1" t="n">
        <f aca="false">V93-W93-C93</f>
        <v>4.39173119951773</v>
      </c>
      <c r="Y93" s="1" t="n">
        <f aca="false">IF(AND(A93&lt;=$F$10, X93&gt;0), X93*$B$23, 0)</f>
        <v>0</v>
      </c>
      <c r="Z93" s="1" t="n">
        <f aca="false">X93-Y93+IF(A93=$F$10+1, MAX(0, SUM(INDEX(Y:Y,31):INDEX(Y:Y,30+$F$10)) - ('1. Press Assumptions'!$D$93*'1. Press Assumptions'!$E$93 - '1. Press Assumptions'!$D$93*0.1154*0.5)), 0)</f>
        <v>4.39173119951773</v>
      </c>
      <c r="AA93" s="1" t="n">
        <f aca="false">IF(AND(A93=$B$19, $B$21=1), O93*$B$20, 0)</f>
        <v>0</v>
      </c>
      <c r="AB93" s="1" t="n">
        <f aca="false">AB92+Z93+AA93</f>
        <v>197.763373705734</v>
      </c>
    </row>
    <row r="94" customFormat="false" ht="15" hidden="false" customHeight="true" outlineLevel="0" collapsed="false">
      <c r="A94" s="1" t="n">
        <v>64</v>
      </c>
      <c r="B94" s="1" t="n">
        <f aca="false">CEILING(A94/12,1)</f>
        <v>6</v>
      </c>
      <c r="C94" s="1" t="n">
        <f aca="false">IF(A94&lt;=18, $B$15/12, 0)</f>
        <v>0</v>
      </c>
      <c r="D94" s="1" t="n">
        <f aca="false">INDEX('26. Team Comp'!$D$28:$R$28, B94) * 0.001 / 12</f>
        <v>0.636416666666667</v>
      </c>
      <c r="E94" s="1" t="n">
        <f aca="false"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>0</v>
      </c>
      <c r="F94" s="1" t="n">
        <f aca="false">IF(A94&lt;$F$6, 0, IF(AND($B$21=1, A94&gt;$B$19), 0, $E$6 * $G$6^((A94-$F$6)/12)))</f>
        <v>19.3445234375</v>
      </c>
      <c r="G94" s="1" t="n">
        <f aca="false">IF(A94&lt;$F$7, 0, IF(AND($B$21=1, A94&gt;$B$19), 0, $E$7 * $G$7^((A94-$F$7)/12)))</f>
        <v>15.2899143536725</v>
      </c>
      <c r="H94" s="1" t="n">
        <f aca="false">IF(A94&lt;$F$8, 0, IF(AND($B$21=1, A94&gt;$B$19), 0, $E$8 * $G$8^((A94-$F$8)/12)))</f>
        <v>12.3619985059382</v>
      </c>
      <c r="I94" s="1" t="n">
        <f aca="false">IF(A94&lt;$F$9, 0, IF(AND($B$21=1, A94&gt;$B$19), 0, $E$9 * $G$9^((A94-$F$9)/12)))</f>
        <v>13.05015625</v>
      </c>
      <c r="J94" s="1" t="n">
        <f aca="false">IF(A94&lt;$F$10, 0, IF(AND($B$21=1, A94&gt;$B$19), 0, $E$10 * $G$10^((A94-$F$10)/12)))</f>
        <v>15.6988841963012</v>
      </c>
      <c r="K94" s="1" t="n">
        <f aca="false">IF(A94&lt;$F$11, 0, IF(AND($B$21=1, A94&gt;$B$19), 0, $E$11 * $G$11^((A94-$F$11)/12)))</f>
        <v>0</v>
      </c>
      <c r="L94" s="1" t="n">
        <f aca="false">IF(A94&lt;$F$12, 0, IF(AND($B$21=1, A94&gt;$B$19), 0, $E$12 * $G$12^((A94-$F$12)/12)))</f>
        <v>0</v>
      </c>
      <c r="M94" s="1" t="n">
        <f aca="false">IF(A94&lt;$F$13, 0, IF(AND($B$21=1, A94&gt;$B$19), 0, $E$13 * $G$13^((A94-$F$13)/12)))</f>
        <v>0</v>
      </c>
      <c r="N94" s="1" t="n">
        <f aca="false">IF(A94&lt;$F$14, 0, IF(AND($B$21=1, A94&gt;$B$19), 0, $E$14 * $G$14^((A94-$F$14)/12)))</f>
        <v>0</v>
      </c>
      <c r="O94" s="1" t="n">
        <f aca="false">SUM(F94:N94)</f>
        <v>75.7454767434118</v>
      </c>
      <c r="P94" s="1" t="n">
        <f aca="false">O94/12</f>
        <v>6.31212306195099</v>
      </c>
      <c r="Q94" s="1" t="n">
        <f aca="false">P94*$B$8</f>
        <v>0.631212306195099</v>
      </c>
      <c r="R94" s="1" t="n">
        <f aca="false">P94*$B$9</f>
        <v>0.315606153097549</v>
      </c>
      <c r="S94" s="1" t="n">
        <f aca="false">P94*$B$10</f>
        <v>0.378727383717059</v>
      </c>
      <c r="T94" s="1" t="n">
        <f aca="false">P94-Q94-R94-S94-D94-E94</f>
        <v>4.35016055227461</v>
      </c>
      <c r="U94" s="1" t="n">
        <f aca="false">MAX(0, T94 - $B$7*P94)</f>
        <v>0</v>
      </c>
      <c r="V94" s="1" t="n">
        <f aca="false">T94-U94</f>
        <v>4.35016055227461</v>
      </c>
      <c r="W94" s="1" t="n">
        <f aca="false"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>0</v>
      </c>
      <c r="X94" s="1" t="n">
        <f aca="false">V94-W94-C94</f>
        <v>4.35016055227461</v>
      </c>
      <c r="Y94" s="1" t="n">
        <f aca="false">IF(AND(A94&lt;=$F$10, X94&gt;0), X94*$B$23, 0)</f>
        <v>0</v>
      </c>
      <c r="Z94" s="1" t="n">
        <f aca="false">X94-Y94+IF(A94=$F$10+1, MAX(0, SUM(INDEX(Y:Y,31):INDEX(Y:Y,30+$F$10)) - ('1. Press Assumptions'!$D$93*'1. Press Assumptions'!$E$93 - '1. Press Assumptions'!$D$93*0.1154*0.5)), 0)</f>
        <v>4.35016055227461</v>
      </c>
      <c r="AA94" s="1" t="n">
        <f aca="false">IF(AND(A94=$B$19, $B$21=1), O94*$B$20, 0)</f>
        <v>0</v>
      </c>
      <c r="AB94" s="1" t="n">
        <f aca="false">AB93+Z94+AA94</f>
        <v>202.113534258009</v>
      </c>
    </row>
    <row r="95" customFormat="false" ht="15" hidden="false" customHeight="true" outlineLevel="0" collapsed="false">
      <c r="A95" s="1" t="n">
        <v>65</v>
      </c>
      <c r="B95" s="1" t="n">
        <f aca="false">CEILING(A95/12,1)</f>
        <v>6</v>
      </c>
      <c r="C95" s="1" t="n">
        <f aca="false">IF(A95&lt;=18, $B$15/12, 0)</f>
        <v>0</v>
      </c>
      <c r="D95" s="1" t="n">
        <f aca="false">INDEX('26. Team Comp'!$D$28:$R$28, B95) * 0.001 / 12</f>
        <v>0.636416666666667</v>
      </c>
      <c r="E95" s="1" t="n">
        <f aca="false"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>0</v>
      </c>
      <c r="F95" s="1" t="n">
        <f aca="false">IF(A95&lt;$F$6, 0, IF(AND($B$21=1, A95&gt;$B$19), 0, $E$6 * $G$6^((A95-$F$6)/12)))</f>
        <v>19.2620128784391</v>
      </c>
      <c r="G95" s="1" t="n">
        <f aca="false">IF(A95&lt;$F$7, 0, IF(AND($B$21=1, A95&gt;$B$19), 0, $E$7 * $G$7^((A95-$F$7)/12)))</f>
        <v>15.156255870862</v>
      </c>
      <c r="H95" s="1" t="n">
        <f aca="false">IF(A95&lt;$F$8, 0, IF(AND($B$21=1, A95&gt;$B$19), 0, $E$8 * $G$8^((A95-$F$8)/12)))</f>
        <v>12.1957055570755</v>
      </c>
      <c r="I95" s="1" t="n">
        <f aca="false">IF(A95&lt;$F$9, 0, IF(AND($B$21=1, A95&gt;$B$19), 0, $E$9 * $G$9^((A95-$F$9)/12)))</f>
        <v>12.8746062396284</v>
      </c>
      <c r="J95" s="1" t="n">
        <f aca="false">IF(A95&lt;$F$10, 0, IF(AND($B$21=1, A95&gt;$B$19), 0, $E$10 * $G$10^((A95-$F$10)/12)))</f>
        <v>15.631923450752</v>
      </c>
      <c r="K95" s="1" t="n">
        <f aca="false">IF(A95&lt;$F$11, 0, IF(AND($B$21=1, A95&gt;$B$19), 0, $E$11 * $G$11^((A95-$F$11)/12)))</f>
        <v>0</v>
      </c>
      <c r="L95" s="1" t="n">
        <f aca="false">IF(A95&lt;$F$12, 0, IF(AND($B$21=1, A95&gt;$B$19), 0, $E$12 * $G$12^((A95-$F$12)/12)))</f>
        <v>0</v>
      </c>
      <c r="M95" s="1" t="n">
        <f aca="false">IF(A95&lt;$F$13, 0, IF(AND($B$21=1, A95&gt;$B$19), 0, $E$13 * $G$13^((A95-$F$13)/12)))</f>
        <v>0</v>
      </c>
      <c r="N95" s="1" t="n">
        <f aca="false">IF(A95&lt;$F$14, 0, IF(AND($B$21=1, A95&gt;$B$19), 0, $E$14 * $G$14^((A95-$F$14)/12)))</f>
        <v>0</v>
      </c>
      <c r="O95" s="1" t="n">
        <f aca="false">SUM(F95:N95)</f>
        <v>75.1205039967569</v>
      </c>
      <c r="P95" s="1" t="n">
        <f aca="false">O95/12</f>
        <v>6.26004199972974</v>
      </c>
      <c r="Q95" s="1" t="n">
        <f aca="false">P95*$B$8</f>
        <v>0.626004199972975</v>
      </c>
      <c r="R95" s="1" t="n">
        <f aca="false">P95*$B$9</f>
        <v>0.313002099986487</v>
      </c>
      <c r="S95" s="1" t="n">
        <f aca="false">P95*$B$10</f>
        <v>0.375602519983785</v>
      </c>
      <c r="T95" s="1" t="n">
        <f aca="false">P95-Q95-R95-S95-D95-E95</f>
        <v>4.30901651311983</v>
      </c>
      <c r="U95" s="1" t="n">
        <f aca="false">MAX(0, T95 - $B$7*P95)</f>
        <v>0</v>
      </c>
      <c r="V95" s="1" t="n">
        <f aca="false">T95-U95</f>
        <v>4.30901651311983</v>
      </c>
      <c r="W95" s="1" t="n">
        <f aca="false"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>0</v>
      </c>
      <c r="X95" s="1" t="n">
        <f aca="false">V95-W95-C95</f>
        <v>4.30901651311983</v>
      </c>
      <c r="Y95" s="1" t="n">
        <f aca="false">IF(AND(A95&lt;=$F$10, X95&gt;0), X95*$B$23, 0)</f>
        <v>0</v>
      </c>
      <c r="Z95" s="1" t="n">
        <f aca="false">X95-Y95+IF(A95=$F$10+1, MAX(0, SUM(INDEX(Y:Y,31):INDEX(Y:Y,30+$F$10)) - ('1. Press Assumptions'!$D$93*'1. Press Assumptions'!$E$93 - '1. Press Assumptions'!$D$93*0.1154*0.5)), 0)</f>
        <v>4.30901651311983</v>
      </c>
      <c r="AA95" s="1" t="n">
        <f aca="false">IF(AND(A95=$B$19, $B$21=1), O95*$B$20, 0)</f>
        <v>0</v>
      </c>
      <c r="AB95" s="1" t="n">
        <f aca="false">AB94+Z95+AA95</f>
        <v>206.422550771129</v>
      </c>
    </row>
    <row r="96" customFormat="false" ht="15" hidden="false" customHeight="true" outlineLevel="0" collapsed="false">
      <c r="A96" s="1" t="n">
        <v>66</v>
      </c>
      <c r="B96" s="1" t="n">
        <f aca="false">CEILING(A96/12,1)</f>
        <v>6</v>
      </c>
      <c r="C96" s="1" t="n">
        <f aca="false">IF(A96&lt;=18, $B$15/12, 0)</f>
        <v>0</v>
      </c>
      <c r="D96" s="1" t="n">
        <f aca="false">INDEX('26. Team Comp'!$D$28:$R$28, B96) * 0.001 / 12</f>
        <v>0.636416666666667</v>
      </c>
      <c r="E96" s="1" t="n">
        <f aca="false"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>0</v>
      </c>
      <c r="F96" s="1" t="n">
        <f aca="false">IF(A96&lt;$F$6, 0, IF(AND($B$21=1, A96&gt;$B$19), 0, $E$6 * $G$6^((A96-$F$6)/12)))</f>
        <v>19.179854253215</v>
      </c>
      <c r="G96" s="1" t="n">
        <f aca="false">IF(A96&lt;$F$7, 0, IF(AND($B$21=1, A96&gt;$B$19), 0, $E$7 * $G$7^((A96-$F$7)/12)))</f>
        <v>15.0237657785091</v>
      </c>
      <c r="H96" s="1" t="n">
        <f aca="false">IF(A96&lt;$F$8, 0, IF(AND($B$21=1, A96&gt;$B$19), 0, $E$8 * $G$8^((A96-$F$8)/12)))</f>
        <v>12.0316495721494</v>
      </c>
      <c r="I96" s="1" t="n">
        <f aca="false">IF(A96&lt;$F$9, 0, IF(AND($B$21=1, A96&gt;$B$19), 0, $E$9 * $G$9^((A96-$F$9)/12)))</f>
        <v>12.7014177186942</v>
      </c>
      <c r="J96" s="1" t="n">
        <f aca="false">IF(A96&lt;$F$10, 0, IF(AND($B$21=1, A96&gt;$B$19), 0, $E$10 * $G$10^((A96-$F$10)/12)))</f>
        <v>15.5652483141281</v>
      </c>
      <c r="K96" s="1" t="n">
        <f aca="false">IF(A96&lt;$F$11, 0, IF(AND($B$21=1, A96&gt;$B$19), 0, $E$11 * $G$11^((A96-$F$11)/12)))</f>
        <v>0</v>
      </c>
      <c r="L96" s="1" t="n">
        <f aca="false">IF(A96&lt;$F$12, 0, IF(AND($B$21=1, A96&gt;$B$19), 0, $E$12 * $G$12^((A96-$F$12)/12)))</f>
        <v>0</v>
      </c>
      <c r="M96" s="1" t="n">
        <f aca="false">IF(A96&lt;$F$13, 0, IF(AND($B$21=1, A96&gt;$B$19), 0, $E$13 * $G$13^((A96-$F$13)/12)))</f>
        <v>0</v>
      </c>
      <c r="N96" s="1" t="n">
        <f aca="false">IF(A96&lt;$F$14, 0, IF(AND($B$21=1, A96&gt;$B$19), 0, $E$14 * $G$14^((A96-$F$14)/12)))</f>
        <v>0</v>
      </c>
      <c r="O96" s="1" t="n">
        <f aca="false">SUM(F96:N96)</f>
        <v>74.5019356366958</v>
      </c>
      <c r="P96" s="1" t="n">
        <f aca="false">O96/12</f>
        <v>6.20849463639132</v>
      </c>
      <c r="Q96" s="1" t="n">
        <f aca="false">P96*$B$8</f>
        <v>0.620849463639132</v>
      </c>
      <c r="R96" s="1" t="n">
        <f aca="false">P96*$B$9</f>
        <v>0.310424731819566</v>
      </c>
      <c r="S96" s="1" t="n">
        <f aca="false">P96*$B$10</f>
        <v>0.372509678183479</v>
      </c>
      <c r="T96" s="1" t="n">
        <f aca="false">P96-Q96-R96-S96-D96-E96</f>
        <v>4.26829409608248</v>
      </c>
      <c r="U96" s="1" t="n">
        <f aca="false">MAX(0, T96 - $B$7*P96)</f>
        <v>0</v>
      </c>
      <c r="V96" s="1" t="n">
        <f aca="false">T96-U96</f>
        <v>4.26829409608248</v>
      </c>
      <c r="W96" s="1" t="n">
        <f aca="false"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>0</v>
      </c>
      <c r="X96" s="1" t="n">
        <f aca="false">V96-W96-C96</f>
        <v>4.26829409608248</v>
      </c>
      <c r="Y96" s="1" t="n">
        <f aca="false">IF(AND(A96&lt;=$F$10, X96&gt;0), X96*$B$23, 0)</f>
        <v>0</v>
      </c>
      <c r="Z96" s="1" t="n">
        <f aca="false">X96-Y96+IF(A96=$F$10+1, MAX(0, SUM(INDEX(Y:Y,31):INDEX(Y:Y,30+$F$10)) - ('1. Press Assumptions'!$D$93*'1. Press Assumptions'!$E$93 - '1. Press Assumptions'!$D$93*0.1154*0.5)), 0)</f>
        <v>4.26829409608248</v>
      </c>
      <c r="AA96" s="1" t="n">
        <f aca="false">IF(AND(A96=$B$19, $B$21=1), O96*$B$20, 0)</f>
        <v>0</v>
      </c>
      <c r="AB96" s="1" t="n">
        <f aca="false">AB95+Z96+AA96</f>
        <v>210.690844867211</v>
      </c>
    </row>
    <row r="97" customFormat="false" ht="15" hidden="false" customHeight="true" outlineLevel="0" collapsed="false">
      <c r="A97" s="1" t="n">
        <v>67</v>
      </c>
      <c r="B97" s="1" t="n">
        <f aca="false">CEILING(A97/12,1)</f>
        <v>6</v>
      </c>
      <c r="C97" s="1" t="n">
        <f aca="false">IF(A97&lt;=18, $B$15/12, 0)</f>
        <v>0</v>
      </c>
      <c r="D97" s="1" t="n">
        <f aca="false">INDEX('26. Team Comp'!$D$28:$R$28, B97) * 0.001 / 12</f>
        <v>0.636416666666667</v>
      </c>
      <c r="E97" s="1" t="n">
        <f aca="false"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>0</v>
      </c>
      <c r="F97" s="1" t="n">
        <f aca="false">IF(A97&lt;$F$6, 0, IF(AND($B$21=1, A97&gt;$B$19), 0, $E$6 * $G$6^((A97-$F$6)/12)))</f>
        <v>19.0980460607179</v>
      </c>
      <c r="G97" s="1" t="n">
        <f aca="false">IF(A97&lt;$F$7, 0, IF(AND($B$21=1, A97&gt;$B$19), 0, $E$7 * $G$7^((A97-$F$7)/12)))</f>
        <v>14.8924338629989</v>
      </c>
      <c r="H97" s="1" t="n">
        <f aca="false">IF(A97&lt;$F$8, 0, IF(AND($B$21=1, A97&gt;$B$19), 0, $E$8 * $G$8^((A97-$F$8)/12)))</f>
        <v>11.8698004596394</v>
      </c>
      <c r="I97" s="1" t="n">
        <f aca="false">IF(A97&lt;$F$9, 0, IF(AND($B$21=1, A97&gt;$B$19), 0, $E$9 * $G$9^((A97-$F$9)/12)))</f>
        <v>12.5305589205667</v>
      </c>
      <c r="J97" s="1" t="n">
        <f aca="false">IF(A97&lt;$F$10, 0, IF(AND($B$21=1, A97&gt;$B$19), 0, $E$10 * $G$10^((A97-$F$10)/12)))</f>
        <v>15.4988575682164</v>
      </c>
      <c r="K97" s="1" t="n">
        <f aca="false">IF(A97&lt;$F$11, 0, IF(AND($B$21=1, A97&gt;$B$19), 0, $E$11 * $G$11^((A97-$F$11)/12)))</f>
        <v>0</v>
      </c>
      <c r="L97" s="1" t="n">
        <f aca="false">IF(A97&lt;$F$12, 0, IF(AND($B$21=1, A97&gt;$B$19), 0, $E$12 * $G$12^((A97-$F$12)/12)))</f>
        <v>0</v>
      </c>
      <c r="M97" s="1" t="n">
        <f aca="false">IF(A97&lt;$F$13, 0, IF(AND($B$21=1, A97&gt;$B$19), 0, $E$13 * $G$13^((A97-$F$13)/12)))</f>
        <v>0</v>
      </c>
      <c r="N97" s="1" t="n">
        <f aca="false">IF(A97&lt;$F$14, 0, IF(AND($B$21=1, A97&gt;$B$19), 0, $E$14 * $G$14^((A97-$F$14)/12)))</f>
        <v>0</v>
      </c>
      <c r="O97" s="1" t="n">
        <f aca="false">SUM(F97:N97)</f>
        <v>73.8896968721394</v>
      </c>
      <c r="P97" s="1" t="n">
        <f aca="false">O97/12</f>
        <v>6.15747473934495</v>
      </c>
      <c r="Q97" s="1" t="n">
        <f aca="false">P97*$B$8</f>
        <v>0.615747473934495</v>
      </c>
      <c r="R97" s="1" t="n">
        <f aca="false">P97*$B$9</f>
        <v>0.307873736967248</v>
      </c>
      <c r="S97" s="1" t="n">
        <f aca="false">P97*$B$10</f>
        <v>0.369448484360697</v>
      </c>
      <c r="T97" s="1" t="n">
        <f aca="false">P97-Q97-R97-S97-D97-E97</f>
        <v>4.22798837741585</v>
      </c>
      <c r="U97" s="1" t="n">
        <f aca="false">MAX(0, T97 - $B$7*P97)</f>
        <v>0</v>
      </c>
      <c r="V97" s="1" t="n">
        <f aca="false">T97-U97</f>
        <v>4.22798837741585</v>
      </c>
      <c r="W97" s="1" t="n">
        <f aca="false"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>0</v>
      </c>
      <c r="X97" s="1" t="n">
        <f aca="false">V97-W97-C97</f>
        <v>4.22798837741585</v>
      </c>
      <c r="Y97" s="1" t="n">
        <f aca="false">IF(AND(A97&lt;=$F$10, X97&gt;0), X97*$B$23, 0)</f>
        <v>0</v>
      </c>
      <c r="Z97" s="1" t="n">
        <f aca="false">X97-Y97+IF(A97=$F$10+1, MAX(0, SUM(INDEX(Y:Y,31):INDEX(Y:Y,30+$F$10)) - ('1. Press Assumptions'!$D$93*'1. Press Assumptions'!$E$93 - '1. Press Assumptions'!$D$93*0.1154*0.5)), 0)</f>
        <v>4.22798837741585</v>
      </c>
      <c r="AA97" s="1" t="n">
        <f aca="false">IF(AND(A97=$B$19, $B$21=1), O97*$B$20, 0)</f>
        <v>0</v>
      </c>
      <c r="AB97" s="1" t="n">
        <f aca="false">AB96+Z97+AA97</f>
        <v>214.918833244627</v>
      </c>
    </row>
    <row r="98" customFormat="false" ht="15" hidden="false" customHeight="true" outlineLevel="0" collapsed="false">
      <c r="A98" s="1" t="n">
        <v>68</v>
      </c>
      <c r="B98" s="1" t="n">
        <f aca="false">CEILING(A98/12,1)</f>
        <v>6</v>
      </c>
      <c r="C98" s="1" t="n">
        <f aca="false">IF(A98&lt;=18, $B$15/12, 0)</f>
        <v>0</v>
      </c>
      <c r="D98" s="1" t="n">
        <f aca="false">INDEX('26. Team Comp'!$D$28:$R$28, B98) * 0.001 / 12</f>
        <v>0.636416666666667</v>
      </c>
      <c r="E98" s="1" t="n">
        <f aca="false"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>0</v>
      </c>
      <c r="F98" s="1" t="n">
        <f aca="false">IF(A98&lt;$F$6, 0, IF(AND($B$21=1, A98&gt;$B$19), 0, $E$6 * $G$6^((A98-$F$6)/12)))</f>
        <v>19.0165868062404</v>
      </c>
      <c r="G98" s="1" t="n">
        <f aca="false">IF(A98&lt;$F$7, 0, IF(AND($B$21=1, A98&gt;$B$19), 0, $E$7 * $G$7^((A98-$F$7)/12)))</f>
        <v>14.76225</v>
      </c>
      <c r="H98" s="1" t="n">
        <f aca="false">IF(A98&lt;$F$8, 0, IF(AND($B$21=1, A98&gt;$B$19), 0, $E$8 * $G$8^((A98-$F$8)/12)))</f>
        <v>11.7101285328149</v>
      </c>
      <c r="I98" s="1" t="n">
        <f aca="false">IF(A98&lt;$F$9, 0, IF(AND($B$21=1, A98&gt;$B$19), 0, $E$9 * $G$9^((A98-$F$9)/12)))</f>
        <v>12.3619985059382</v>
      </c>
      <c r="J98" s="1" t="n">
        <f aca="false">IF(A98&lt;$F$10, 0, IF(AND($B$21=1, A98&gt;$B$19), 0, $E$10 * $G$10^((A98-$F$10)/12)))</f>
        <v>15.43275</v>
      </c>
      <c r="K98" s="1" t="n">
        <f aca="false">IF(A98&lt;$F$11, 0, IF(AND($B$21=1, A98&gt;$B$19), 0, $E$11 * $G$11^((A98-$F$11)/12)))</f>
        <v>0</v>
      </c>
      <c r="L98" s="1" t="n">
        <f aca="false">IF(A98&lt;$F$12, 0, IF(AND($B$21=1, A98&gt;$B$19), 0, $E$12 * $G$12^((A98-$F$12)/12)))</f>
        <v>0</v>
      </c>
      <c r="M98" s="1" t="n">
        <f aca="false">IF(A98&lt;$F$13, 0, IF(AND($B$21=1, A98&gt;$B$19), 0, $E$13 * $G$13^((A98-$F$13)/12)))</f>
        <v>0</v>
      </c>
      <c r="N98" s="1" t="n">
        <f aca="false">IF(A98&lt;$F$14, 0, IF(AND($B$21=1, A98&gt;$B$19), 0, $E$14 * $G$14^((A98-$F$14)/12)))</f>
        <v>0</v>
      </c>
      <c r="O98" s="1" t="n">
        <f aca="false">SUM(F98:N98)</f>
        <v>73.2837138449935</v>
      </c>
      <c r="P98" s="1" t="n">
        <f aca="false">O98/12</f>
        <v>6.10697615374946</v>
      </c>
      <c r="Q98" s="1" t="n">
        <f aca="false">P98*$B$8</f>
        <v>0.610697615374946</v>
      </c>
      <c r="R98" s="1" t="n">
        <f aca="false">P98*$B$9</f>
        <v>0.305348807687473</v>
      </c>
      <c r="S98" s="1" t="n">
        <f aca="false">P98*$B$10</f>
        <v>0.366418569224968</v>
      </c>
      <c r="T98" s="1" t="n">
        <f aca="false">P98-Q98-R98-S98-D98-E98</f>
        <v>4.18809449479541</v>
      </c>
      <c r="U98" s="1" t="n">
        <f aca="false">MAX(0, T98 - $B$7*P98)</f>
        <v>0</v>
      </c>
      <c r="V98" s="1" t="n">
        <f aca="false">T98-U98</f>
        <v>4.18809449479541</v>
      </c>
      <c r="W98" s="1" t="n">
        <f aca="false"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>0</v>
      </c>
      <c r="X98" s="1" t="n">
        <f aca="false">V98-W98-C98</f>
        <v>4.18809449479541</v>
      </c>
      <c r="Y98" s="1" t="n">
        <f aca="false">IF(AND(A98&lt;=$F$10, X98&gt;0), X98*$B$23, 0)</f>
        <v>0</v>
      </c>
      <c r="Z98" s="1" t="n">
        <f aca="false">X98-Y98+IF(A98=$F$10+1, MAX(0, SUM(INDEX(Y:Y,31):INDEX(Y:Y,30+$F$10)) - ('1. Press Assumptions'!$D$93*'1. Press Assumptions'!$E$93 - '1. Press Assumptions'!$D$93*0.1154*0.5)), 0)</f>
        <v>4.18809449479541</v>
      </c>
      <c r="AA98" s="1" t="n">
        <f aca="false">IF(AND(A98=$B$19, $B$21=1), O98*$B$20, 0)</f>
        <v>0</v>
      </c>
      <c r="AB98" s="1" t="n">
        <f aca="false">AB97+Z98+AA98</f>
        <v>219.106927739423</v>
      </c>
    </row>
    <row r="99" customFormat="false" ht="15" hidden="false" customHeight="true" outlineLevel="0" collapsed="false">
      <c r="A99" s="1" t="n">
        <v>69</v>
      </c>
      <c r="B99" s="1" t="n">
        <f aca="false">CEILING(A99/12,1)</f>
        <v>6</v>
      </c>
      <c r="C99" s="1" t="n">
        <f aca="false">IF(A99&lt;=18, $B$15/12, 0)</f>
        <v>0</v>
      </c>
      <c r="D99" s="1" t="n">
        <f aca="false">INDEX('26. Team Comp'!$D$28:$R$28, B99) * 0.001 / 12</f>
        <v>0.636416666666667</v>
      </c>
      <c r="E99" s="1" t="n">
        <f aca="false"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>0</v>
      </c>
      <c r="F99" s="1" t="n">
        <f aca="false">IF(A99&lt;$F$6, 0, IF(AND($B$21=1, A99&gt;$B$19), 0, $E$6 * $G$6^((A99-$F$6)/12)))</f>
        <v>18.9354750014507</v>
      </c>
      <c r="G99" s="1" t="n">
        <f aca="false">IF(A99&lt;$F$7, 0, IF(AND($B$21=1, A99&gt;$B$19), 0, $E$7 * $G$7^((A99-$F$7)/12)))</f>
        <v>14.633204153684</v>
      </c>
      <c r="H99" s="1" t="n">
        <f aca="false">IF(A99&lt;$F$8, 0, IF(AND($B$21=1, A99&gt;$B$19), 0, $E$8 * $G$8^((A99-$F$8)/12)))</f>
        <v>11.5526045042893</v>
      </c>
      <c r="I99" s="1" t="n">
        <f aca="false">IF(A99&lt;$F$9, 0, IF(AND($B$21=1, A99&gt;$B$19), 0, $E$9 * $G$9^((A99-$F$9)/12)))</f>
        <v>12.1957055570755</v>
      </c>
      <c r="J99" s="1" t="n">
        <f aca="false">IF(A99&lt;$F$10, 0, IF(AND($B$21=1, A99&gt;$B$19), 0, $E$10 * $G$10^((A99-$F$10)/12)))</f>
        <v>15.3669244016356</v>
      </c>
      <c r="K99" s="1" t="n">
        <f aca="false">IF(A99&lt;$F$11, 0, IF(AND($B$21=1, A99&gt;$B$19), 0, $E$11 * $G$11^((A99-$F$11)/12)))</f>
        <v>0</v>
      </c>
      <c r="L99" s="1" t="n">
        <f aca="false">IF(A99&lt;$F$12, 0, IF(AND($B$21=1, A99&gt;$B$19), 0, $E$12 * $G$12^((A99-$F$12)/12)))</f>
        <v>0</v>
      </c>
      <c r="M99" s="1" t="n">
        <f aca="false">IF(A99&lt;$F$13, 0, IF(AND($B$21=1, A99&gt;$B$19), 0, $E$13 * $G$13^((A99-$F$13)/12)))</f>
        <v>0</v>
      </c>
      <c r="N99" s="1" t="n">
        <f aca="false">IF(A99&lt;$F$14, 0, IF(AND($B$21=1, A99&gt;$B$19), 0, $E$14 * $G$14^((A99-$F$14)/12)))</f>
        <v>0</v>
      </c>
      <c r="O99" s="1" t="n">
        <f aca="false">SUM(F99:N99)</f>
        <v>72.6839136181351</v>
      </c>
      <c r="P99" s="1" t="n">
        <f aca="false">O99/12</f>
        <v>6.05699280151126</v>
      </c>
      <c r="Q99" s="1" t="n">
        <f aca="false">P99*$B$8</f>
        <v>0.605699280151126</v>
      </c>
      <c r="R99" s="1" t="n">
        <f aca="false">P99*$B$9</f>
        <v>0.302849640075563</v>
      </c>
      <c r="S99" s="1" t="n">
        <f aca="false">P99*$B$10</f>
        <v>0.363419568090675</v>
      </c>
      <c r="T99" s="1" t="n">
        <f aca="false">P99-Q99-R99-S99-D99-E99</f>
        <v>4.14860764652723</v>
      </c>
      <c r="U99" s="1" t="n">
        <f aca="false">MAX(0, T99 - $B$7*P99)</f>
        <v>0</v>
      </c>
      <c r="V99" s="1" t="n">
        <f aca="false">T99-U99</f>
        <v>4.14860764652723</v>
      </c>
      <c r="W99" s="1" t="n">
        <f aca="false"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>0</v>
      </c>
      <c r="X99" s="1" t="n">
        <f aca="false">V99-W99-C99</f>
        <v>4.14860764652723</v>
      </c>
      <c r="Y99" s="1" t="n">
        <f aca="false">IF(AND(A99&lt;=$F$10, X99&gt;0), X99*$B$23, 0)</f>
        <v>0</v>
      </c>
      <c r="Z99" s="1" t="n">
        <f aca="false">X99-Y99+IF(A99=$F$10+1, MAX(0, SUM(INDEX(Y:Y,31):INDEX(Y:Y,30+$F$10)) - ('1. Press Assumptions'!$D$93*'1. Press Assumptions'!$E$93 - '1. Press Assumptions'!$D$93*0.1154*0.5)), 0)</f>
        <v>4.14860764652723</v>
      </c>
      <c r="AA99" s="1" t="n">
        <f aca="false">IF(AND(A99=$B$19, $B$21=1), O99*$B$20, 0)</f>
        <v>0</v>
      </c>
      <c r="AB99" s="1" t="n">
        <f aca="false">AB98+Z99+AA99</f>
        <v>223.25553538595</v>
      </c>
    </row>
    <row r="100" customFormat="false" ht="15" hidden="false" customHeight="true" outlineLevel="0" collapsed="false">
      <c r="A100" s="1" t="n">
        <v>70</v>
      </c>
      <c r="B100" s="1" t="n">
        <f aca="false">CEILING(A100/12,1)</f>
        <v>6</v>
      </c>
      <c r="C100" s="1" t="n">
        <f aca="false">IF(A100&lt;=18, $B$15/12, 0)</f>
        <v>0</v>
      </c>
      <c r="D100" s="1" t="n">
        <f aca="false">INDEX('26. Team Comp'!$D$28:$R$28, B100) * 0.001 / 12</f>
        <v>0.636416666666667</v>
      </c>
      <c r="E100" s="1" t="n">
        <f aca="false"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>0</v>
      </c>
      <c r="F100" s="1" t="n">
        <f aca="false">IF(A100&lt;$F$6, 0, IF(AND($B$21=1, A100&gt;$B$19), 0, $E$6 * $G$6^((A100-$F$6)/12)))</f>
        <v>18.8547091643649</v>
      </c>
      <c r="G100" s="1" t="n">
        <f aca="false">IF(A100&lt;$F$7, 0, IF(AND($B$21=1, A100&gt;$B$19), 0, $E$7 * $G$7^((A100-$F$7)/12)))</f>
        <v>14.5052863759519</v>
      </c>
      <c r="H100" s="1" t="n">
        <f aca="false">IF(A100&lt;$F$8, 0, IF(AND($B$21=1, A100&gt;$B$19), 0, $E$8 * $G$8^((A100-$F$8)/12)))</f>
        <v>11.3971994806485</v>
      </c>
      <c r="I100" s="1" t="n">
        <f aca="false">IF(A100&lt;$F$9, 0, IF(AND($B$21=1, A100&gt;$B$19), 0, $E$9 * $G$9^((A100-$F$9)/12)))</f>
        <v>12.0316495721494</v>
      </c>
      <c r="J100" s="1" t="n">
        <f aca="false">IF(A100&lt;$F$10, 0, IF(AND($B$21=1, A100&gt;$B$19), 0, $E$10 * $G$10^((A100-$F$10)/12)))</f>
        <v>15.3013795704319</v>
      </c>
      <c r="K100" s="1" t="n">
        <f aca="false">IF(A100&lt;$F$11, 0, IF(AND($B$21=1, A100&gt;$B$19), 0, $E$11 * $G$11^((A100-$F$11)/12)))</f>
        <v>0</v>
      </c>
      <c r="L100" s="1" t="n">
        <f aca="false">IF(A100&lt;$F$12, 0, IF(AND($B$21=1, A100&gt;$B$19), 0, $E$12 * $G$12^((A100-$F$12)/12)))</f>
        <v>0</v>
      </c>
      <c r="M100" s="1" t="n">
        <f aca="false">IF(A100&lt;$F$13, 0, IF(AND($B$21=1, A100&gt;$B$19), 0, $E$13 * $G$13^((A100-$F$13)/12)))</f>
        <v>0</v>
      </c>
      <c r="N100" s="1" t="n">
        <f aca="false">IF(A100&lt;$F$14, 0, IF(AND($B$21=1, A100&gt;$B$19), 0, $E$14 * $G$14^((A100-$F$14)/12)))</f>
        <v>0</v>
      </c>
      <c r="O100" s="1" t="n">
        <f aca="false">SUM(F100:N100)</f>
        <v>72.0902241635467</v>
      </c>
      <c r="P100" s="1" t="n">
        <f aca="false">O100/12</f>
        <v>6.00751868029555</v>
      </c>
      <c r="Q100" s="1" t="n">
        <f aca="false">P100*$B$8</f>
        <v>0.600751868029556</v>
      </c>
      <c r="R100" s="1" t="n">
        <f aca="false">P100*$B$9</f>
        <v>0.300375934014778</v>
      </c>
      <c r="S100" s="1" t="n">
        <f aca="false">P100*$B$10</f>
        <v>0.360451120817733</v>
      </c>
      <c r="T100" s="1" t="n">
        <f aca="false">P100-Q100-R100-S100-D100-E100</f>
        <v>4.10952309076682</v>
      </c>
      <c r="U100" s="1" t="n">
        <f aca="false">MAX(0, T100 - $B$7*P100)</f>
        <v>0</v>
      </c>
      <c r="V100" s="1" t="n">
        <f aca="false">T100-U100</f>
        <v>4.10952309076682</v>
      </c>
      <c r="W100" s="1" t="n">
        <f aca="false"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>0</v>
      </c>
      <c r="X100" s="1" t="n">
        <f aca="false">V100-W100-C100</f>
        <v>4.10952309076682</v>
      </c>
      <c r="Y100" s="1" t="n">
        <f aca="false">IF(AND(A100&lt;=$F$10, X100&gt;0), X100*$B$23, 0)</f>
        <v>0</v>
      </c>
      <c r="Z100" s="1" t="n">
        <f aca="false">X100-Y100+IF(A100=$F$10+1, MAX(0, SUM(INDEX(Y:Y,31):INDEX(Y:Y,30+$F$10)) - ('1. Press Assumptions'!$D$93*'1. Press Assumptions'!$E$93 - '1. Press Assumptions'!$D$93*0.1154*0.5)), 0)</f>
        <v>4.10952309076682</v>
      </c>
      <c r="AA100" s="1" t="n">
        <f aca="false">IF(AND(A100=$B$19, $B$21=1), O100*$B$20, 0)</f>
        <v>0</v>
      </c>
      <c r="AB100" s="1" t="n">
        <f aca="false">AB99+Z100+AA100</f>
        <v>227.365058476717</v>
      </c>
    </row>
    <row r="101" customFormat="false" ht="15" hidden="false" customHeight="true" outlineLevel="0" collapsed="false">
      <c r="A101" s="1" t="n">
        <v>71</v>
      </c>
      <c r="B101" s="1" t="n">
        <f aca="false">CEILING(A101/12,1)</f>
        <v>6</v>
      </c>
      <c r="C101" s="1" t="n">
        <f aca="false">IF(A101&lt;=18, $B$15/12, 0)</f>
        <v>0</v>
      </c>
      <c r="D101" s="1" t="n">
        <f aca="false">INDEX('26. Team Comp'!$D$28:$R$28, B101) * 0.001 / 12</f>
        <v>0.636416666666667</v>
      </c>
      <c r="E101" s="1" t="n">
        <f aca="false"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>0</v>
      </c>
      <c r="F101" s="1" t="n">
        <f aca="false">IF(A101&lt;$F$6, 0, IF(AND($B$21=1, A101&gt;$B$19), 0, $E$6 * $G$6^((A101-$F$6)/12)))</f>
        <v>18.7742878193207</v>
      </c>
      <c r="G101" s="1" t="n">
        <f aca="false">IF(A101&lt;$F$7, 0, IF(AND($B$21=1, A101&gt;$B$19), 0, $E$7 * $G$7^((A101-$F$7)/12)))</f>
        <v>14.3784868056668</v>
      </c>
      <c r="H101" s="1" t="n">
        <f aca="false">IF(A101&lt;$F$8, 0, IF(AND($B$21=1, A101&gt;$B$19), 0, $E$8 * $G$8^((A101-$F$8)/12)))</f>
        <v>11.2438849571511</v>
      </c>
      <c r="I101" s="1" t="n">
        <f aca="false">IF(A101&lt;$F$9, 0, IF(AND($B$21=1, A101&gt;$B$19), 0, $E$9 * $G$9^((A101-$F$9)/12)))</f>
        <v>11.8698004596394</v>
      </c>
      <c r="J101" s="1" t="n">
        <f aca="false">IF(A101&lt;$F$10, 0, IF(AND($B$21=1, A101&gt;$B$19), 0, $E$10 * $G$10^((A101-$F$10)/12)))</f>
        <v>15.2361143088276</v>
      </c>
      <c r="K101" s="1" t="n">
        <f aca="false">IF(A101&lt;$F$11, 0, IF(AND($B$21=1, A101&gt;$B$19), 0, $E$11 * $G$11^((A101-$F$11)/12)))</f>
        <v>0</v>
      </c>
      <c r="L101" s="1" t="n">
        <f aca="false">IF(A101&lt;$F$12, 0, IF(AND($B$21=1, A101&gt;$B$19), 0, $E$12 * $G$12^((A101-$F$12)/12)))</f>
        <v>0</v>
      </c>
      <c r="M101" s="1" t="n">
        <f aca="false">IF(A101&lt;$F$13, 0, IF(AND($B$21=1, A101&gt;$B$19), 0, $E$13 * $G$13^((A101-$F$13)/12)))</f>
        <v>0</v>
      </c>
      <c r="N101" s="1" t="n">
        <f aca="false">IF(A101&lt;$F$14, 0, IF(AND($B$21=1, A101&gt;$B$19), 0, $E$14 * $G$14^((A101-$F$14)/12)))</f>
        <v>0</v>
      </c>
      <c r="O101" s="1" t="n">
        <f aca="false">SUM(F101:N101)</f>
        <v>71.5025743506057</v>
      </c>
      <c r="P101" s="1" t="n">
        <f aca="false">O101/12</f>
        <v>5.95854786255048</v>
      </c>
      <c r="Q101" s="1" t="n">
        <f aca="false">P101*$B$8</f>
        <v>0.595854786255048</v>
      </c>
      <c r="R101" s="1" t="n">
        <f aca="false">P101*$B$9</f>
        <v>0.297927393127524</v>
      </c>
      <c r="S101" s="1" t="n">
        <f aca="false">P101*$B$10</f>
        <v>0.357512871753029</v>
      </c>
      <c r="T101" s="1" t="n">
        <f aca="false">P101-Q101-R101-S101-D101-E101</f>
        <v>4.07083614474821</v>
      </c>
      <c r="U101" s="1" t="n">
        <f aca="false">MAX(0, T101 - $B$7*P101)</f>
        <v>0</v>
      </c>
      <c r="V101" s="1" t="n">
        <f aca="false">T101-U101</f>
        <v>4.07083614474821</v>
      </c>
      <c r="W101" s="1" t="n">
        <f aca="false"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>0</v>
      </c>
      <c r="X101" s="1" t="n">
        <f aca="false">V101-W101-C101</f>
        <v>4.07083614474821</v>
      </c>
      <c r="Y101" s="1" t="n">
        <f aca="false">IF(AND(A101&lt;=$F$10, X101&gt;0), X101*$B$23, 0)</f>
        <v>0</v>
      </c>
      <c r="Z101" s="1" t="n">
        <f aca="false">X101-Y101+IF(A101=$F$10+1, MAX(0, SUM(INDEX(Y:Y,31):INDEX(Y:Y,30+$F$10)) - ('1. Press Assumptions'!$D$93*'1. Press Assumptions'!$E$93 - '1. Press Assumptions'!$D$93*0.1154*0.5)), 0)</f>
        <v>4.07083614474821</v>
      </c>
      <c r="AA101" s="1" t="n">
        <f aca="false">IF(AND(A101=$B$19, $B$21=1), O101*$B$20, 0)</f>
        <v>0</v>
      </c>
      <c r="AB101" s="1" t="n">
        <f aca="false">AB100+Z101+AA101</f>
        <v>231.435894621465</v>
      </c>
    </row>
    <row r="102" customFormat="false" ht="15" hidden="false" customHeight="true" outlineLevel="0" collapsed="false">
      <c r="A102" s="1" t="n">
        <v>72</v>
      </c>
      <c r="B102" s="1" t="n">
        <f aca="false">CEILING(A102/12,1)</f>
        <v>6</v>
      </c>
      <c r="C102" s="1" t="n">
        <f aca="false">IF(A102&lt;=18, $B$15/12, 0)</f>
        <v>0</v>
      </c>
      <c r="D102" s="1" t="n">
        <f aca="false">INDEX('26. Team Comp'!$D$28:$R$28, B102) * 0.001 / 12</f>
        <v>0.636416666666667</v>
      </c>
      <c r="E102" s="1" t="n">
        <f aca="false"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>0</v>
      </c>
      <c r="F102" s="1" t="n">
        <f aca="false">IF(A102&lt;$F$6, 0, IF(AND($B$21=1, A102&gt;$B$19), 0, $E$6 * $G$6^((A102-$F$6)/12)))</f>
        <v>18.6942094969497</v>
      </c>
      <c r="G102" s="1" t="n">
        <f aca="false">IF(A102&lt;$F$7, 0, IF(AND($B$21=1, A102&gt;$B$19), 0, $E$7 * $G$7^((A102-$F$7)/12)))</f>
        <v>14.2527956678945</v>
      </c>
      <c r="H102" s="1" t="n">
        <f aca="false">IF(A102&lt;$F$8, 0, IF(AND($B$21=1, A102&gt;$B$19), 0, $E$8 * $G$8^((A102-$F$8)/12)))</f>
        <v>11.0926328125</v>
      </c>
      <c r="I102" s="1" t="n">
        <f aca="false">IF(A102&lt;$F$9, 0, IF(AND($B$21=1, A102&gt;$B$19), 0, $E$9 * $G$9^((A102-$F$9)/12)))</f>
        <v>11.7101285328149</v>
      </c>
      <c r="J102" s="1" t="n">
        <f aca="false">IF(A102&lt;$F$10, 0, IF(AND($B$21=1, A102&gt;$B$19), 0, $E$10 * $G$10^((A102-$F$10)/12)))</f>
        <v>15.1711274243691</v>
      </c>
      <c r="K102" s="1" t="n">
        <f aca="false">IF(A102&lt;$F$11, 0, IF(AND($B$21=1, A102&gt;$B$19), 0, $E$11 * $G$11^((A102-$F$11)/12)))</f>
        <v>0</v>
      </c>
      <c r="L102" s="1" t="n">
        <f aca="false">IF(A102&lt;$F$12, 0, IF(AND($B$21=1, A102&gt;$B$19), 0, $E$12 * $G$12^((A102-$F$12)/12)))</f>
        <v>0</v>
      </c>
      <c r="M102" s="1" t="n">
        <f aca="false">IF(A102&lt;$F$13, 0, IF(AND($B$21=1, A102&gt;$B$19), 0, $E$13 * $G$13^((A102-$F$13)/12)))</f>
        <v>0</v>
      </c>
      <c r="N102" s="1" t="n">
        <f aca="false">IF(A102&lt;$F$14, 0, IF(AND($B$21=1, A102&gt;$B$19), 0, $E$14 * $G$14^((A102-$F$14)/12)))</f>
        <v>0</v>
      </c>
      <c r="O102" s="1" t="n">
        <f aca="false">SUM(F102:N102)</f>
        <v>70.9208939345281</v>
      </c>
      <c r="P102" s="1" t="n">
        <f aca="false">O102/12</f>
        <v>5.91007449454401</v>
      </c>
      <c r="Q102" s="1" t="n">
        <f aca="false">P102*$B$8</f>
        <v>0.591007449454401</v>
      </c>
      <c r="R102" s="1" t="n">
        <f aca="false">P102*$B$9</f>
        <v>0.295503724727201</v>
      </c>
      <c r="S102" s="1" t="n">
        <f aca="false">P102*$B$10</f>
        <v>0.354604469672641</v>
      </c>
      <c r="T102" s="1" t="n">
        <f aca="false">P102-Q102-R102-S102-D102-E102</f>
        <v>4.0325421840231</v>
      </c>
      <c r="U102" s="1" t="n">
        <f aca="false">MAX(0, T102 - $B$7*P102)</f>
        <v>0</v>
      </c>
      <c r="V102" s="1" t="n">
        <f aca="false">T102-U102</f>
        <v>4.0325421840231</v>
      </c>
      <c r="W102" s="1" t="n">
        <f aca="false"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>0</v>
      </c>
      <c r="X102" s="1" t="n">
        <f aca="false">V102-W102-C102</f>
        <v>4.0325421840231</v>
      </c>
      <c r="Y102" s="1" t="n">
        <f aca="false">IF(AND(A102&lt;=$F$10, X102&gt;0), X102*$B$23, 0)</f>
        <v>0</v>
      </c>
      <c r="Z102" s="1" t="n">
        <f aca="false">X102-Y102+IF(A102=$F$10+1, MAX(0, SUM(INDEX(Y:Y,31):INDEX(Y:Y,30+$F$10)) - ('1. Press Assumptions'!$D$93*'1. Press Assumptions'!$E$93 - '1. Press Assumptions'!$D$93*0.1154*0.5)), 0)</f>
        <v>4.0325421840231</v>
      </c>
      <c r="AA102" s="1" t="n">
        <f aca="false">IF(AND(A102=$B$19, $B$21=1), O102*$B$20, 0)</f>
        <v>0</v>
      </c>
      <c r="AB102" s="1" t="n">
        <f aca="false">AB101+Z102+AA102</f>
        <v>235.468436805488</v>
      </c>
    </row>
    <row r="103" customFormat="false" ht="15" hidden="false" customHeight="true" outlineLevel="0" collapsed="false">
      <c r="A103" s="1" t="n">
        <v>73</v>
      </c>
      <c r="B103" s="1" t="n">
        <f aca="false">CEILING(A103/12,1)</f>
        <v>7</v>
      </c>
      <c r="C103" s="1" t="n">
        <f aca="false">IF(A103&lt;=18, $B$15/12, 0)</f>
        <v>0</v>
      </c>
      <c r="D103" s="1" t="n">
        <f aca="false">INDEX('26. Team Comp'!$D$28:$R$28, B103) * 0.001 / 12</f>
        <v>0.636416666666667</v>
      </c>
      <c r="E103" s="1" t="n">
        <f aca="false"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>0</v>
      </c>
      <c r="F103" s="1" t="n">
        <f aca="false">IF(A103&lt;$F$6, 0, IF(AND($B$21=1, A103&gt;$B$19), 0, $E$6 * $G$6^((A103-$F$6)/12)))</f>
        <v>18.6144727341507</v>
      </c>
      <c r="G103" s="1" t="n">
        <f aca="false">IF(A103&lt;$F$7, 0, IF(AND($B$21=1, A103&gt;$B$19), 0, $E$7 * $G$7^((A103-$F$7)/12)))</f>
        <v>14.1282032731489</v>
      </c>
      <c r="H103" s="1" t="n">
        <f aca="false">IF(A103&lt;$F$8, 0, IF(AND($B$21=1, A103&gt;$B$19), 0, $E$8 * $G$8^((A103-$F$8)/12)))</f>
        <v>10.9434153036841</v>
      </c>
      <c r="I103" s="1" t="n">
        <f aca="false">IF(A103&lt;$F$9, 0, IF(AND($B$21=1, A103&gt;$B$19), 0, $E$9 * $G$9^((A103-$F$9)/12)))</f>
        <v>11.5526045042893</v>
      </c>
      <c r="J103" s="1" t="n">
        <f aca="false">IF(A103&lt;$F$10, 0, IF(AND($B$21=1, A103&gt;$B$19), 0, $E$10 * $G$10^((A103-$F$10)/12)))</f>
        <v>15.1064177296892</v>
      </c>
      <c r="K103" s="1" t="n">
        <f aca="false">IF(A103&lt;$F$11, 0, IF(AND($B$21=1, A103&gt;$B$19), 0, $E$11 * $G$11^((A103-$F$11)/12)))</f>
        <v>0</v>
      </c>
      <c r="L103" s="1" t="n">
        <f aca="false">IF(A103&lt;$F$12, 0, IF(AND($B$21=1, A103&gt;$B$19), 0, $E$12 * $G$12^((A103-$F$12)/12)))</f>
        <v>0</v>
      </c>
      <c r="M103" s="1" t="n">
        <f aca="false">IF(A103&lt;$F$13, 0, IF(AND($B$21=1, A103&gt;$B$19), 0, $E$13 * $G$13^((A103-$F$13)/12)))</f>
        <v>0</v>
      </c>
      <c r="N103" s="1" t="n">
        <f aca="false">IF(A103&lt;$F$14, 0, IF(AND($B$21=1, A103&gt;$B$19), 0, $E$14 * $G$14^((A103-$F$14)/12)))</f>
        <v>0</v>
      </c>
      <c r="O103" s="1" t="n">
        <f aca="false">SUM(F103:N103)</f>
        <v>70.3451135449622</v>
      </c>
      <c r="P103" s="1" t="n">
        <f aca="false">O103/12</f>
        <v>5.86209279541352</v>
      </c>
      <c r="Q103" s="1" t="n">
        <f aca="false">P103*$B$8</f>
        <v>0.586209279541352</v>
      </c>
      <c r="R103" s="1" t="n">
        <f aca="false">P103*$B$9</f>
        <v>0.293104639770676</v>
      </c>
      <c r="S103" s="1" t="n">
        <f aca="false">P103*$B$10</f>
        <v>0.351725567724811</v>
      </c>
      <c r="T103" s="1" t="n">
        <f aca="false">P103-Q103-R103-S103-D103-E103</f>
        <v>3.99463664171001</v>
      </c>
      <c r="U103" s="1" t="n">
        <f aca="false">MAX(0, T103 - $B$7*P103)</f>
        <v>0</v>
      </c>
      <c r="V103" s="1" t="n">
        <f aca="false">T103-U103</f>
        <v>3.99463664171001</v>
      </c>
      <c r="W103" s="1" t="n">
        <f aca="false"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>0</v>
      </c>
      <c r="X103" s="1" t="n">
        <f aca="false">V103-W103-C103</f>
        <v>3.99463664171001</v>
      </c>
      <c r="Y103" s="1" t="n">
        <f aca="false">IF(AND(A103&lt;=$F$10, X103&gt;0), X103*$B$23, 0)</f>
        <v>0</v>
      </c>
      <c r="Z103" s="1" t="n">
        <f aca="false">X103-Y103+IF(A103=$F$10+1, MAX(0, SUM(INDEX(Y:Y,31):INDEX(Y:Y,30+$F$10)) - ('1. Press Assumptions'!$D$93*'1. Press Assumptions'!$E$93 - '1. Press Assumptions'!$D$93*0.1154*0.5)), 0)</f>
        <v>3.99463664171001</v>
      </c>
      <c r="AA103" s="1" t="n">
        <f aca="false">IF(AND(A103=$B$19, $B$21=1), O103*$B$20, 0)</f>
        <v>0</v>
      </c>
      <c r="AB103" s="1" t="n">
        <f aca="false">AB102+Z103+AA103</f>
        <v>239.463073447198</v>
      </c>
    </row>
    <row r="104" customFormat="false" ht="15" hidden="false" customHeight="true" outlineLevel="0" collapsed="false">
      <c r="A104" s="1" t="n">
        <v>74</v>
      </c>
      <c r="B104" s="1" t="n">
        <f aca="false">CEILING(A104/12,1)</f>
        <v>7</v>
      </c>
      <c r="C104" s="1" t="n">
        <f aca="false">IF(A104&lt;=18, $B$15/12, 0)</f>
        <v>0</v>
      </c>
      <c r="D104" s="1" t="n">
        <f aca="false">INDEX('26. Team Comp'!$D$28:$R$28, B104) * 0.001 / 12</f>
        <v>0.636416666666667</v>
      </c>
      <c r="E104" s="1" t="n">
        <f aca="false"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>0</v>
      </c>
      <c r="F104" s="1" t="n">
        <f aca="false">IF(A104&lt;$F$6, 0, IF(AND($B$21=1, A104&gt;$B$19), 0, $E$6 * $G$6^((A104-$F$6)/12)))</f>
        <v>18.5350760740633</v>
      </c>
      <c r="G104" s="1" t="n">
        <f aca="false">IF(A104&lt;$F$7, 0, IF(AND($B$21=1, A104&gt;$B$19), 0, $E$7 * $G$7^((A104-$F$7)/12)))</f>
        <v>14.0047000166462</v>
      </c>
      <c r="H104" s="1" t="n">
        <f aca="false">IF(A104&lt;$F$8, 0, IF(AND($B$21=1, A104&gt;$B$19), 0, $E$8 * $G$8^((A104-$F$8)/12)))</f>
        <v>10.7962050608901</v>
      </c>
      <c r="I104" s="1" t="n">
        <f aca="false">IF(A104&lt;$F$9, 0, IF(AND($B$21=1, A104&gt;$B$19), 0, $E$9 * $G$9^((A104-$F$9)/12)))</f>
        <v>11.3971994806485</v>
      </c>
      <c r="J104" s="1" t="n">
        <f aca="false">IF(A104&lt;$F$10, 0, IF(AND($B$21=1, A104&gt;$B$19), 0, $E$10 * $G$10^((A104-$F$10)/12)))</f>
        <v>15.0419840424851</v>
      </c>
      <c r="K104" s="1" t="n">
        <f aca="false">IF(A104&lt;$F$11, 0, IF(AND($B$21=1, A104&gt;$B$19), 0, $E$11 * $G$11^((A104-$F$11)/12)))</f>
        <v>0</v>
      </c>
      <c r="L104" s="1" t="n">
        <f aca="false">IF(A104&lt;$F$12, 0, IF(AND($B$21=1, A104&gt;$B$19), 0, $E$12 * $G$12^((A104-$F$12)/12)))</f>
        <v>0</v>
      </c>
      <c r="M104" s="1" t="n">
        <f aca="false">IF(A104&lt;$F$13, 0, IF(AND($B$21=1, A104&gt;$B$19), 0, $E$13 * $G$13^((A104-$F$13)/12)))</f>
        <v>0</v>
      </c>
      <c r="N104" s="1" t="n">
        <f aca="false">IF(A104&lt;$F$14, 0, IF(AND($B$21=1, A104&gt;$B$19), 0, $E$14 * $G$14^((A104-$F$14)/12)))</f>
        <v>0</v>
      </c>
      <c r="O104" s="1" t="n">
        <f aca="false">SUM(F104:N104)</f>
        <v>69.7751646747332</v>
      </c>
      <c r="P104" s="1" t="n">
        <f aca="false">O104/12</f>
        <v>5.81459705622777</v>
      </c>
      <c r="Q104" s="1" t="n">
        <f aca="false">P104*$B$8</f>
        <v>0.581459705622777</v>
      </c>
      <c r="R104" s="1" t="n">
        <f aca="false">P104*$B$9</f>
        <v>0.290729852811388</v>
      </c>
      <c r="S104" s="1" t="n">
        <f aca="false">P104*$B$10</f>
        <v>0.348875823373666</v>
      </c>
      <c r="T104" s="1" t="n">
        <f aca="false">P104-Q104-R104-S104-D104-E104</f>
        <v>3.95711500775327</v>
      </c>
      <c r="U104" s="1" t="n">
        <f aca="false">MAX(0, T104 - $B$7*P104)</f>
        <v>0</v>
      </c>
      <c r="V104" s="1" t="n">
        <f aca="false">T104-U104</f>
        <v>3.95711500775327</v>
      </c>
      <c r="W104" s="1" t="n">
        <f aca="false"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>0</v>
      </c>
      <c r="X104" s="1" t="n">
        <f aca="false">V104-W104-C104</f>
        <v>3.95711500775327</v>
      </c>
      <c r="Y104" s="1" t="n">
        <f aca="false">IF(AND(A104&lt;=$F$10, X104&gt;0), X104*$B$23, 0)</f>
        <v>0</v>
      </c>
      <c r="Z104" s="1" t="n">
        <f aca="false">X104-Y104+IF(A104=$F$10+1, MAX(0, SUM(INDEX(Y:Y,31):INDEX(Y:Y,30+$F$10)) - ('1. Press Assumptions'!$D$93*'1. Press Assumptions'!$E$93 - '1. Press Assumptions'!$D$93*0.1154*0.5)), 0)</f>
        <v>3.95711500775327</v>
      </c>
      <c r="AA104" s="1" t="n">
        <f aca="false">IF(AND(A104=$B$19, $B$21=1), O104*$B$20, 0)</f>
        <v>0</v>
      </c>
      <c r="AB104" s="1" t="n">
        <f aca="false">AB103+Z104+AA104</f>
        <v>243.420188454951</v>
      </c>
    </row>
    <row r="105" customFormat="false" ht="15" hidden="false" customHeight="true" outlineLevel="0" collapsed="false">
      <c r="A105" s="1" t="n">
        <v>75</v>
      </c>
      <c r="B105" s="1" t="n">
        <f aca="false">CEILING(A105/12,1)</f>
        <v>7</v>
      </c>
      <c r="C105" s="1" t="n">
        <f aca="false">IF(A105&lt;=18, $B$15/12, 0)</f>
        <v>0</v>
      </c>
      <c r="D105" s="1" t="n">
        <f aca="false">INDEX('26. Team Comp'!$D$28:$R$28, B105) * 0.001 / 12</f>
        <v>0.636416666666667</v>
      </c>
      <c r="E105" s="1" t="n">
        <f aca="false"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>0</v>
      </c>
      <c r="F105" s="1" t="n">
        <f aca="false">IF(A105&lt;$F$6, 0, IF(AND($B$21=1, A105&gt;$B$19), 0, $E$6 * $G$6^((A105-$F$6)/12)))</f>
        <v>18.4560180660411</v>
      </c>
      <c r="G105" s="1" t="n">
        <f aca="false">IF(A105&lt;$F$7, 0, IF(AND($B$21=1, A105&gt;$B$19), 0, $E$7 * $G$7^((A105-$F$7)/12)))</f>
        <v>13.8822763775634</v>
      </c>
      <c r="H105" s="1" t="n">
        <f aca="false">IF(A105&lt;$F$8, 0, IF(AND($B$21=1, A105&gt;$B$19), 0, $E$8 * $G$8^((A105-$F$8)/12)))</f>
        <v>10.6509750824817</v>
      </c>
      <c r="I105" s="1" t="n">
        <f aca="false">IF(A105&lt;$F$9, 0, IF(AND($B$21=1, A105&gt;$B$19), 0, $E$9 * $G$9^((A105-$F$9)/12)))</f>
        <v>11.2438849571511</v>
      </c>
      <c r="J105" s="1" t="n">
        <f aca="false">IF(A105&lt;$F$10, 0, IF(AND($B$21=1, A105&gt;$B$19), 0, $E$10 * $G$10^((A105-$F$10)/12)))</f>
        <v>14.9778251854969</v>
      </c>
      <c r="K105" s="1" t="n">
        <f aca="false">IF(A105&lt;$F$11, 0, IF(AND($B$21=1, A105&gt;$B$19), 0, $E$11 * $G$11^((A105-$F$11)/12)))</f>
        <v>0</v>
      </c>
      <c r="L105" s="1" t="n">
        <f aca="false">IF(A105&lt;$F$12, 0, IF(AND($B$21=1, A105&gt;$B$19), 0, $E$12 * $G$12^((A105-$F$12)/12)))</f>
        <v>0</v>
      </c>
      <c r="M105" s="1" t="n">
        <f aca="false">IF(A105&lt;$F$13, 0, IF(AND($B$21=1, A105&gt;$B$19), 0, $E$13 * $G$13^((A105-$F$13)/12)))</f>
        <v>0</v>
      </c>
      <c r="N105" s="1" t="n">
        <f aca="false">IF(A105&lt;$F$14, 0, IF(AND($B$21=1, A105&gt;$B$19), 0, $E$14 * $G$14^((A105-$F$14)/12)))</f>
        <v>0</v>
      </c>
      <c r="O105" s="1" t="n">
        <f aca="false">SUM(F105:N105)</f>
        <v>69.2109796687343</v>
      </c>
      <c r="P105" s="1" t="n">
        <f aca="false">O105/12</f>
        <v>5.76758163906119</v>
      </c>
      <c r="Q105" s="1" t="n">
        <f aca="false">P105*$B$8</f>
        <v>0.576758163906119</v>
      </c>
      <c r="R105" s="1" t="n">
        <f aca="false">P105*$B$9</f>
        <v>0.288379081953059</v>
      </c>
      <c r="S105" s="1" t="n">
        <f aca="false">P105*$B$10</f>
        <v>0.346054898343671</v>
      </c>
      <c r="T105" s="1" t="n">
        <f aca="false">P105-Q105-R105-S105-D105-E105</f>
        <v>3.91997282819167</v>
      </c>
      <c r="U105" s="1" t="n">
        <f aca="false">MAX(0, T105 - $B$7*P105)</f>
        <v>0</v>
      </c>
      <c r="V105" s="1" t="n">
        <f aca="false">T105-U105</f>
        <v>3.91997282819167</v>
      </c>
      <c r="W105" s="1" t="n">
        <f aca="false"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>0</v>
      </c>
      <c r="X105" s="1" t="n">
        <f aca="false">V105-W105-C105</f>
        <v>3.91997282819167</v>
      </c>
      <c r="Y105" s="1" t="n">
        <f aca="false">IF(AND(A105&lt;=$F$10, X105&gt;0), X105*$B$23, 0)</f>
        <v>0</v>
      </c>
      <c r="Z105" s="1" t="n">
        <f aca="false">X105-Y105+IF(A105=$F$10+1, MAX(0, SUM(INDEX(Y:Y,31):INDEX(Y:Y,30+$F$10)) - ('1. Press Assumptions'!$D$93*'1. Press Assumptions'!$E$93 - '1. Press Assumptions'!$D$93*0.1154*0.5)), 0)</f>
        <v>3.91997282819167</v>
      </c>
      <c r="AA105" s="1" t="n">
        <f aca="false">IF(AND(A105=$B$19, $B$21=1), O105*$B$20, 0)</f>
        <v>0</v>
      </c>
      <c r="AB105" s="1" t="n">
        <f aca="false">AB104+Z105+AA105</f>
        <v>247.340161283143</v>
      </c>
    </row>
    <row r="106" customFormat="false" ht="15" hidden="false" customHeight="true" outlineLevel="0" collapsed="false">
      <c r="A106" s="1" t="n">
        <v>76</v>
      </c>
      <c r="B106" s="1" t="n">
        <f aca="false">CEILING(A106/12,1)</f>
        <v>7</v>
      </c>
      <c r="C106" s="1" t="n">
        <f aca="false">IF(A106&lt;=18, $B$15/12, 0)</f>
        <v>0</v>
      </c>
      <c r="D106" s="1" t="n">
        <f aca="false">INDEX('26. Team Comp'!$D$28:$R$28, B106) * 0.001 / 12</f>
        <v>0.636416666666667</v>
      </c>
      <c r="E106" s="1" t="n">
        <f aca="false"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>0</v>
      </c>
      <c r="F106" s="1" t="n">
        <f aca="false">IF(A106&lt;$F$6, 0, IF(AND($B$21=1, A106&gt;$B$19), 0, $E$6 * $G$6^((A106-$F$6)/12)))</f>
        <v>18.377297265625</v>
      </c>
      <c r="G106" s="1" t="n">
        <f aca="false">IF(A106&lt;$F$7, 0, IF(AND($B$21=1, A106&gt;$B$19), 0, $E$7 * $G$7^((A106-$F$7)/12)))</f>
        <v>13.7609229183052</v>
      </c>
      <c r="H106" s="1" t="n">
        <f aca="false">IF(A106&lt;$F$8, 0, IF(AND($B$21=1, A106&gt;$B$19), 0, $E$8 * $G$8^((A106-$F$8)/12)))</f>
        <v>10.5076987300475</v>
      </c>
      <c r="I106" s="1" t="n">
        <f aca="false">IF(A106&lt;$F$9, 0, IF(AND($B$21=1, A106&gt;$B$19), 0, $E$9 * $G$9^((A106-$F$9)/12)))</f>
        <v>11.0926328125</v>
      </c>
      <c r="J106" s="1" t="n">
        <f aca="false">IF(A106&lt;$F$10, 0, IF(AND($B$21=1, A106&gt;$B$19), 0, $E$10 * $G$10^((A106-$F$10)/12)))</f>
        <v>14.9139399864862</v>
      </c>
      <c r="K106" s="1" t="n">
        <f aca="false">IF(A106&lt;$F$11, 0, IF(AND($B$21=1, A106&gt;$B$19), 0, $E$11 * $G$11^((A106-$F$11)/12)))</f>
        <v>0</v>
      </c>
      <c r="L106" s="1" t="n">
        <f aca="false">IF(A106&lt;$F$12, 0, IF(AND($B$21=1, A106&gt;$B$19), 0, $E$12 * $G$12^((A106-$F$12)/12)))</f>
        <v>0</v>
      </c>
      <c r="M106" s="1" t="n">
        <f aca="false">IF(A106&lt;$F$13, 0, IF(AND($B$21=1, A106&gt;$B$19), 0, $E$13 * $G$13^((A106-$F$13)/12)))</f>
        <v>0</v>
      </c>
      <c r="N106" s="1" t="n">
        <f aca="false">IF(A106&lt;$F$14, 0, IF(AND($B$21=1, A106&gt;$B$19), 0, $E$14 * $G$14^((A106-$F$14)/12)))</f>
        <v>0</v>
      </c>
      <c r="O106" s="1" t="n">
        <f aca="false">SUM(F106:N106)</f>
        <v>68.6524917129638</v>
      </c>
      <c r="P106" s="1" t="n">
        <f aca="false">O106/12</f>
        <v>5.72104097608032</v>
      </c>
      <c r="Q106" s="1" t="n">
        <f aca="false">P106*$B$8</f>
        <v>0.572104097608032</v>
      </c>
      <c r="R106" s="1" t="n">
        <f aca="false">P106*$B$9</f>
        <v>0.286052048804016</v>
      </c>
      <c r="S106" s="1" t="n">
        <f aca="false">P106*$B$10</f>
        <v>0.343262458564819</v>
      </c>
      <c r="T106" s="1" t="n">
        <f aca="false">P106-Q106-R106-S106-D106-E106</f>
        <v>3.88320570443678</v>
      </c>
      <c r="U106" s="1" t="n">
        <f aca="false">MAX(0, T106 - $B$7*P106)</f>
        <v>0</v>
      </c>
      <c r="V106" s="1" t="n">
        <f aca="false">T106-U106</f>
        <v>3.88320570443678</v>
      </c>
      <c r="W106" s="1" t="n">
        <f aca="false"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>0</v>
      </c>
      <c r="X106" s="1" t="n">
        <f aca="false">V106-W106-C106</f>
        <v>3.88320570443678</v>
      </c>
      <c r="Y106" s="1" t="n">
        <f aca="false">IF(AND(A106&lt;=$F$10, X106&gt;0), X106*$B$23, 0)</f>
        <v>0</v>
      </c>
      <c r="Z106" s="1" t="n">
        <f aca="false">X106-Y106+IF(A106=$F$10+1, MAX(0, SUM(INDEX(Y:Y,31):INDEX(Y:Y,30+$F$10)) - ('1. Press Assumptions'!$D$93*'1. Press Assumptions'!$E$93 - '1. Press Assumptions'!$D$93*0.1154*0.5)), 0)</f>
        <v>3.88320570443678</v>
      </c>
      <c r="AA106" s="1" t="n">
        <f aca="false">IF(AND(A106=$B$19, $B$21=1), O106*$B$20, 0)</f>
        <v>0</v>
      </c>
      <c r="AB106" s="1" t="n">
        <f aca="false">AB105+Z106+AA106</f>
        <v>251.22336698758</v>
      </c>
    </row>
    <row r="107" customFormat="false" ht="15" hidden="false" customHeight="true" outlineLevel="0" collapsed="false">
      <c r="A107" s="1" t="n">
        <v>77</v>
      </c>
      <c r="B107" s="1" t="n">
        <f aca="false">CEILING(A107/12,1)</f>
        <v>7</v>
      </c>
      <c r="C107" s="1" t="n">
        <f aca="false">IF(A107&lt;=18, $B$15/12, 0)</f>
        <v>0</v>
      </c>
      <c r="D107" s="1" t="n">
        <f aca="false">INDEX('26. Team Comp'!$D$28:$R$28, B107) * 0.001 / 12</f>
        <v>0.636416666666667</v>
      </c>
      <c r="E107" s="1" t="n">
        <f aca="false"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>0</v>
      </c>
      <c r="F107" s="1" t="n">
        <f aca="false">IF(A107&lt;$F$6, 0, IF(AND($B$21=1, A107&gt;$B$19), 0, $E$6 * $G$6^((A107-$F$6)/12)))</f>
        <v>18.2989122345171</v>
      </c>
      <c r="G107" s="1" t="n">
        <f aca="false">IF(A107&lt;$F$7, 0, IF(AND($B$21=1, A107&gt;$B$19), 0, $E$7 * $G$7^((A107-$F$7)/12)))</f>
        <v>13.6406302837758</v>
      </c>
      <c r="H107" s="1" t="n">
        <f aca="false">IF(A107&lt;$F$8, 0, IF(AND($B$21=1, A107&gt;$B$19), 0, $E$8 * $G$8^((A107-$F$8)/12)))</f>
        <v>10.3663497235142</v>
      </c>
      <c r="I107" s="1" t="n">
        <f aca="false">IF(A107&lt;$F$9, 0, IF(AND($B$21=1, A107&gt;$B$19), 0, $E$9 * $G$9^((A107-$F$9)/12)))</f>
        <v>10.9434153036841</v>
      </c>
      <c r="J107" s="1" t="n">
        <f aca="false">IF(A107&lt;$F$10, 0, IF(AND($B$21=1, A107&gt;$B$19), 0, $E$10 * $G$10^((A107-$F$10)/12)))</f>
        <v>14.8503272782144</v>
      </c>
      <c r="K107" s="1" t="n">
        <f aca="false">IF(A107&lt;$F$11, 0, IF(AND($B$21=1, A107&gt;$B$19), 0, $E$11 * $G$11^((A107-$F$11)/12)))</f>
        <v>0</v>
      </c>
      <c r="L107" s="1" t="n">
        <f aca="false">IF(A107&lt;$F$12, 0, IF(AND($B$21=1, A107&gt;$B$19), 0, $E$12 * $G$12^((A107-$F$12)/12)))</f>
        <v>0</v>
      </c>
      <c r="M107" s="1" t="n">
        <f aca="false">IF(A107&lt;$F$13, 0, IF(AND($B$21=1, A107&gt;$B$19), 0, $E$13 * $G$13^((A107-$F$13)/12)))</f>
        <v>0</v>
      </c>
      <c r="N107" s="1" t="n">
        <f aca="false">IF(A107&lt;$F$14, 0, IF(AND($B$21=1, A107&gt;$B$19), 0, $E$14 * $G$14^((A107-$F$14)/12)))</f>
        <v>0</v>
      </c>
      <c r="O107" s="1" t="n">
        <f aca="false">SUM(F107:N107)</f>
        <v>68.0996348237056</v>
      </c>
      <c r="P107" s="1" t="n">
        <f aca="false">O107/12</f>
        <v>5.67496956864213</v>
      </c>
      <c r="Q107" s="1" t="n">
        <f aca="false">P107*$B$8</f>
        <v>0.567496956864213</v>
      </c>
      <c r="R107" s="1" t="n">
        <f aca="false">P107*$B$9</f>
        <v>0.283748478432107</v>
      </c>
      <c r="S107" s="1" t="n">
        <f aca="false">P107*$B$10</f>
        <v>0.340498174118528</v>
      </c>
      <c r="T107" s="1" t="n">
        <f aca="false">P107-Q107-R107-S107-D107-E107</f>
        <v>3.84680929256062</v>
      </c>
      <c r="U107" s="1" t="n">
        <f aca="false">MAX(0, T107 - $B$7*P107)</f>
        <v>0</v>
      </c>
      <c r="V107" s="1" t="n">
        <f aca="false">T107-U107</f>
        <v>3.84680929256062</v>
      </c>
      <c r="W107" s="1" t="n">
        <f aca="false"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>0</v>
      </c>
      <c r="X107" s="1" t="n">
        <f aca="false">V107-W107-C107</f>
        <v>3.84680929256062</v>
      </c>
      <c r="Y107" s="1" t="n">
        <f aca="false">IF(AND(A107&lt;=$F$10, X107&gt;0), X107*$B$23, 0)</f>
        <v>0</v>
      </c>
      <c r="Z107" s="1" t="n">
        <f aca="false">X107-Y107+IF(A107=$F$10+1, MAX(0, SUM(INDEX(Y:Y,31):INDEX(Y:Y,30+$F$10)) - ('1. Press Assumptions'!$D$93*'1. Press Assumptions'!$E$93 - '1. Press Assumptions'!$D$93*0.1154*0.5)), 0)</f>
        <v>3.84680929256062</v>
      </c>
      <c r="AA107" s="1" t="n">
        <f aca="false">IF(AND(A107=$B$19, $B$21=1), O107*$B$20, 0)</f>
        <v>0</v>
      </c>
      <c r="AB107" s="1" t="n">
        <f aca="false">AB106+Z107+AA107</f>
        <v>255.07017628014</v>
      </c>
    </row>
    <row r="108" customFormat="false" ht="15" hidden="false" customHeight="true" outlineLevel="0" collapsed="false">
      <c r="A108" s="1" t="n">
        <v>78</v>
      </c>
      <c r="B108" s="1" t="n">
        <f aca="false">CEILING(A108/12,1)</f>
        <v>7</v>
      </c>
      <c r="C108" s="1" t="n">
        <f aca="false">IF(A108&lt;=18, $B$15/12, 0)</f>
        <v>0</v>
      </c>
      <c r="D108" s="1" t="n">
        <f aca="false">INDEX('26. Team Comp'!$D$28:$R$28, B108) * 0.001 / 12</f>
        <v>0.636416666666667</v>
      </c>
      <c r="E108" s="1" t="n">
        <f aca="false"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>0</v>
      </c>
      <c r="F108" s="1" t="n">
        <f aca="false">IF(A108&lt;$F$6, 0, IF(AND($B$21=1, A108&gt;$B$19), 0, $E$6 * $G$6^((A108-$F$6)/12)))</f>
        <v>18.2208615405543</v>
      </c>
      <c r="G108" s="1" t="n">
        <f aca="false">IF(A108&lt;$F$7, 0, IF(AND($B$21=1, A108&gt;$B$19), 0, $E$7 * $G$7^((A108-$F$7)/12)))</f>
        <v>13.5213892006582</v>
      </c>
      <c r="H108" s="1" t="n">
        <f aca="false">IF(A108&lt;$F$8, 0, IF(AND($B$21=1, A108&gt;$B$19), 0, $E$8 * $G$8^((A108-$F$8)/12)))</f>
        <v>10.226902136327</v>
      </c>
      <c r="I108" s="1" t="n">
        <f aca="false">IF(A108&lt;$F$9, 0, IF(AND($B$21=1, A108&gt;$B$19), 0, $E$9 * $G$9^((A108-$F$9)/12)))</f>
        <v>10.7962050608901</v>
      </c>
      <c r="J108" s="1" t="n">
        <f aca="false">IF(A108&lt;$F$10, 0, IF(AND($B$21=1, A108&gt;$B$19), 0, $E$10 * $G$10^((A108-$F$10)/12)))</f>
        <v>14.7869858984217</v>
      </c>
      <c r="K108" s="1" t="n">
        <f aca="false">IF(A108&lt;$F$11, 0, IF(AND($B$21=1, A108&gt;$B$19), 0, $E$11 * $G$11^((A108-$F$11)/12)))</f>
        <v>0</v>
      </c>
      <c r="L108" s="1" t="n">
        <f aca="false">IF(A108&lt;$F$12, 0, IF(AND($B$21=1, A108&gt;$B$19), 0, $E$12 * $G$12^((A108-$F$12)/12)))</f>
        <v>0</v>
      </c>
      <c r="M108" s="1" t="n">
        <f aca="false">IF(A108&lt;$F$13, 0, IF(AND($B$21=1, A108&gt;$B$19), 0, $E$13 * $G$13^((A108-$F$13)/12)))</f>
        <v>0</v>
      </c>
      <c r="N108" s="1" t="n">
        <f aca="false">IF(A108&lt;$F$14, 0, IF(AND($B$21=1, A108&gt;$B$19), 0, $E$14 * $G$14^((A108-$F$14)/12)))</f>
        <v>0</v>
      </c>
      <c r="O108" s="1" t="n">
        <f aca="false">SUM(F108:N108)</f>
        <v>67.5523438368512</v>
      </c>
      <c r="P108" s="1" t="n">
        <f aca="false">O108/12</f>
        <v>5.62936198640427</v>
      </c>
      <c r="Q108" s="1" t="n">
        <f aca="false">P108*$B$8</f>
        <v>0.562936198640427</v>
      </c>
      <c r="R108" s="1" t="n">
        <f aca="false">P108*$B$9</f>
        <v>0.281468099320213</v>
      </c>
      <c r="S108" s="1" t="n">
        <f aca="false">P108*$B$10</f>
        <v>0.337761719184256</v>
      </c>
      <c r="T108" s="1" t="n">
        <f aca="false">P108-Q108-R108-S108-D108-E108</f>
        <v>3.81077930259271</v>
      </c>
      <c r="U108" s="1" t="n">
        <f aca="false">MAX(0, T108 - $B$7*P108)</f>
        <v>0</v>
      </c>
      <c r="V108" s="1" t="n">
        <f aca="false">T108-U108</f>
        <v>3.81077930259271</v>
      </c>
      <c r="W108" s="1" t="n">
        <f aca="false"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>0</v>
      </c>
      <c r="X108" s="1" t="n">
        <f aca="false">V108-W108-C108</f>
        <v>3.81077930259271</v>
      </c>
      <c r="Y108" s="1" t="n">
        <f aca="false">IF(AND(A108&lt;=$F$10, X108&gt;0), X108*$B$23, 0)</f>
        <v>0</v>
      </c>
      <c r="Z108" s="1" t="n">
        <f aca="false">X108-Y108+IF(A108=$F$10+1, MAX(0, SUM(INDEX(Y:Y,31):INDEX(Y:Y,30+$F$10)) - ('1. Press Assumptions'!$D$93*'1. Press Assumptions'!$E$93 - '1. Press Assumptions'!$D$93*0.1154*0.5)), 0)</f>
        <v>3.81077930259271</v>
      </c>
      <c r="AA108" s="1" t="n">
        <f aca="false">IF(AND(A108=$B$19, $B$21=1), O108*$B$20, 0)</f>
        <v>0</v>
      </c>
      <c r="AB108" s="1" t="n">
        <f aca="false">AB107+Z108+AA108</f>
        <v>258.880955582733</v>
      </c>
    </row>
    <row r="109" customFormat="false" ht="15" hidden="false" customHeight="true" outlineLevel="0" collapsed="false">
      <c r="A109" s="1" t="n">
        <v>79</v>
      </c>
      <c r="B109" s="1" t="n">
        <f aca="false">CEILING(A109/12,1)</f>
        <v>7</v>
      </c>
      <c r="C109" s="1" t="n">
        <f aca="false">IF(A109&lt;=18, $B$15/12, 0)</f>
        <v>0</v>
      </c>
      <c r="D109" s="1" t="n">
        <f aca="false">INDEX('26. Team Comp'!$D$28:$R$28, B109) * 0.001 / 12</f>
        <v>0.636416666666667</v>
      </c>
      <c r="E109" s="1" t="n">
        <f aca="false"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>0</v>
      </c>
      <c r="F109" s="1" t="n">
        <f aca="false">IF(A109&lt;$F$6, 0, IF(AND($B$21=1, A109&gt;$B$19), 0, $E$6 * $G$6^((A109-$F$6)/12)))</f>
        <v>18.143143757682</v>
      </c>
      <c r="G109" s="1" t="n">
        <f aca="false">IF(A109&lt;$F$7, 0, IF(AND($B$21=1, A109&gt;$B$19), 0, $E$7 * $G$7^((A109-$F$7)/12)))</f>
        <v>13.403190476699</v>
      </c>
      <c r="H109" s="1" t="n">
        <f aca="false">IF(A109&lt;$F$8, 0, IF(AND($B$21=1, A109&gt;$B$19), 0, $E$8 * $G$8^((A109-$F$8)/12)))</f>
        <v>10.0893303906935</v>
      </c>
      <c r="I109" s="1" t="n">
        <f aca="false">IF(A109&lt;$F$9, 0, IF(AND($B$21=1, A109&gt;$B$19), 0, $E$9 * $G$9^((A109-$F$9)/12)))</f>
        <v>10.6509750824817</v>
      </c>
      <c r="J109" s="1" t="n">
        <f aca="false">IF(A109&lt;$F$10, 0, IF(AND($B$21=1, A109&gt;$B$19), 0, $E$10 * $G$10^((A109-$F$10)/12)))</f>
        <v>14.7239146898056</v>
      </c>
      <c r="K109" s="1" t="n">
        <f aca="false">IF(A109&lt;$F$11, 0, IF(AND($B$21=1, A109&gt;$B$19), 0, $E$11 * $G$11^((A109-$F$11)/12)))</f>
        <v>0</v>
      </c>
      <c r="L109" s="1" t="n">
        <f aca="false">IF(A109&lt;$F$12, 0, IF(AND($B$21=1, A109&gt;$B$19), 0, $E$12 * $G$12^((A109-$F$12)/12)))</f>
        <v>0</v>
      </c>
      <c r="M109" s="1" t="n">
        <f aca="false">IF(A109&lt;$F$13, 0, IF(AND($B$21=1, A109&gt;$B$19), 0, $E$13 * $G$13^((A109-$F$13)/12)))</f>
        <v>0</v>
      </c>
      <c r="N109" s="1" t="n">
        <f aca="false">IF(A109&lt;$F$14, 0, IF(AND($B$21=1, A109&gt;$B$19), 0, $E$14 * $G$14^((A109-$F$14)/12)))</f>
        <v>0</v>
      </c>
      <c r="O109" s="1" t="n">
        <f aca="false">SUM(F109:N109)</f>
        <v>67.0105543973619</v>
      </c>
      <c r="P109" s="1" t="n">
        <f aca="false">O109/12</f>
        <v>5.58421286644683</v>
      </c>
      <c r="Q109" s="1" t="n">
        <f aca="false">P109*$B$8</f>
        <v>0.558421286644683</v>
      </c>
      <c r="R109" s="1" t="n">
        <f aca="false">P109*$B$9</f>
        <v>0.279210643322341</v>
      </c>
      <c r="S109" s="1" t="n">
        <f aca="false">P109*$B$10</f>
        <v>0.33505277198681</v>
      </c>
      <c r="T109" s="1" t="n">
        <f aca="false">P109-Q109-R109-S109-D109-E109</f>
        <v>3.77511149782633</v>
      </c>
      <c r="U109" s="1" t="n">
        <f aca="false">MAX(0, T109 - $B$7*P109)</f>
        <v>0</v>
      </c>
      <c r="V109" s="1" t="n">
        <f aca="false">T109-U109</f>
        <v>3.77511149782633</v>
      </c>
      <c r="W109" s="1" t="n">
        <f aca="false"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>0</v>
      </c>
      <c r="X109" s="1" t="n">
        <f aca="false">V109-W109-C109</f>
        <v>3.77511149782633</v>
      </c>
      <c r="Y109" s="1" t="n">
        <f aca="false">IF(AND(A109&lt;=$F$10, X109&gt;0), X109*$B$23, 0)</f>
        <v>0</v>
      </c>
      <c r="Z109" s="1" t="n">
        <f aca="false">X109-Y109+IF(A109=$F$10+1, MAX(0, SUM(INDEX(Y:Y,31):INDEX(Y:Y,30+$F$10)) - ('1. Press Assumptions'!$D$93*'1. Press Assumptions'!$E$93 - '1. Press Assumptions'!$D$93*0.1154*0.5)), 0)</f>
        <v>3.77511149782633</v>
      </c>
      <c r="AA109" s="1" t="n">
        <f aca="false">IF(AND(A109=$B$19, $B$21=1), O109*$B$20, 0)</f>
        <v>0</v>
      </c>
      <c r="AB109" s="1" t="n">
        <f aca="false">AB108+Z109+AA109</f>
        <v>262.656067080559</v>
      </c>
    </row>
    <row r="110" customFormat="false" ht="15" hidden="false" customHeight="true" outlineLevel="0" collapsed="false">
      <c r="A110" s="1" t="n">
        <v>80</v>
      </c>
      <c r="B110" s="1" t="n">
        <f aca="false">CEILING(A110/12,1)</f>
        <v>7</v>
      </c>
      <c r="C110" s="1" t="n">
        <f aca="false">IF(A110&lt;=18, $B$15/12, 0)</f>
        <v>0</v>
      </c>
      <c r="D110" s="1" t="n">
        <f aca="false">INDEX('26. Team Comp'!$D$28:$R$28, B110) * 0.001 / 12</f>
        <v>0.636416666666667</v>
      </c>
      <c r="E110" s="1" t="n">
        <f aca="false"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>0</v>
      </c>
      <c r="F110" s="1" t="n">
        <f aca="false">IF(A110&lt;$F$6, 0, IF(AND($B$21=1, A110&gt;$B$19), 0, $E$6 * $G$6^((A110-$F$6)/12)))</f>
        <v>18.0657574659284</v>
      </c>
      <c r="G110" s="1" t="n">
        <f aca="false">IF(A110&lt;$F$7, 0, IF(AND($B$21=1, A110&gt;$B$19), 0, $E$7 * $G$7^((A110-$F$7)/12)))</f>
        <v>13.286025</v>
      </c>
      <c r="H110" s="1" t="n">
        <f aca="false">IF(A110&lt;$F$8, 0, IF(AND($B$21=1, A110&gt;$B$19), 0, $E$8 * $G$8^((A110-$F$8)/12)))</f>
        <v>9.95360925289267</v>
      </c>
      <c r="I110" s="1" t="n">
        <f aca="false">IF(A110&lt;$F$9, 0, IF(AND($B$21=1, A110&gt;$B$19), 0, $E$9 * $G$9^((A110-$F$9)/12)))</f>
        <v>10.5076987300475</v>
      </c>
      <c r="J110" s="1" t="n">
        <f aca="false">IF(A110&lt;$F$10, 0, IF(AND($B$21=1, A110&gt;$B$19), 0, $E$10 * $G$10^((A110-$F$10)/12)))</f>
        <v>14.6611125</v>
      </c>
      <c r="K110" s="1" t="n">
        <f aca="false">IF(A110&lt;$F$11, 0, IF(AND($B$21=1, A110&gt;$B$19), 0, $E$11 * $G$11^((A110-$F$11)/12)))</f>
        <v>0</v>
      </c>
      <c r="L110" s="1" t="n">
        <f aca="false">IF(A110&lt;$F$12, 0, IF(AND($B$21=1, A110&gt;$B$19), 0, $E$12 * $G$12^((A110-$F$12)/12)))</f>
        <v>0</v>
      </c>
      <c r="M110" s="1" t="n">
        <f aca="false">IF(A110&lt;$F$13, 0, IF(AND($B$21=1, A110&gt;$B$19), 0, $E$13 * $G$13^((A110-$F$13)/12)))</f>
        <v>0</v>
      </c>
      <c r="N110" s="1" t="n">
        <f aca="false">IF(A110&lt;$F$14, 0, IF(AND($B$21=1, A110&gt;$B$19), 0, $E$14 * $G$14^((A110-$F$14)/12)))</f>
        <v>0</v>
      </c>
      <c r="O110" s="1" t="n">
        <f aca="false">SUM(F110:N110)</f>
        <v>66.4742029488685</v>
      </c>
      <c r="P110" s="1" t="n">
        <f aca="false">O110/12</f>
        <v>5.53951691240571</v>
      </c>
      <c r="Q110" s="1" t="n">
        <f aca="false">P110*$B$8</f>
        <v>0.553951691240571</v>
      </c>
      <c r="R110" s="1" t="n">
        <f aca="false">P110*$B$9</f>
        <v>0.276975845620286</v>
      </c>
      <c r="S110" s="1" t="n">
        <f aca="false">P110*$B$10</f>
        <v>0.332371014744343</v>
      </c>
      <c r="T110" s="1" t="n">
        <f aca="false">P110-Q110-R110-S110-D110-E110</f>
        <v>3.73980169413385</v>
      </c>
      <c r="U110" s="1" t="n">
        <f aca="false">MAX(0, T110 - $B$7*P110)</f>
        <v>0</v>
      </c>
      <c r="V110" s="1" t="n">
        <f aca="false">T110-U110</f>
        <v>3.73980169413385</v>
      </c>
      <c r="W110" s="1" t="n">
        <f aca="false"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>0</v>
      </c>
      <c r="X110" s="1" t="n">
        <f aca="false">V110-W110-C110</f>
        <v>3.73980169413385</v>
      </c>
      <c r="Y110" s="1" t="n">
        <f aca="false">IF(AND(A110&lt;=$F$10, X110&gt;0), X110*$B$23, 0)</f>
        <v>0</v>
      </c>
      <c r="Z110" s="1" t="n">
        <f aca="false">X110-Y110+IF(A110=$F$10+1, MAX(0, SUM(INDEX(Y:Y,31):INDEX(Y:Y,30+$F$10)) - ('1. Press Assumptions'!$D$93*'1. Press Assumptions'!$E$93 - '1. Press Assumptions'!$D$93*0.1154*0.5)), 0)</f>
        <v>3.73980169413385</v>
      </c>
      <c r="AA110" s="1" t="n">
        <f aca="false">IF(AND(A110=$B$19, $B$21=1), O110*$B$20, 0)</f>
        <v>0</v>
      </c>
      <c r="AB110" s="1" t="n">
        <f aca="false">AB109+Z110+AA110</f>
        <v>266.395868774693</v>
      </c>
    </row>
    <row r="111" customFormat="false" ht="15" hidden="false" customHeight="true" outlineLevel="0" collapsed="false">
      <c r="A111" s="1" t="n">
        <v>81</v>
      </c>
      <c r="B111" s="1" t="n">
        <f aca="false">CEILING(A111/12,1)</f>
        <v>7</v>
      </c>
      <c r="C111" s="1" t="n">
        <f aca="false">IF(A111&lt;=18, $B$15/12, 0)</f>
        <v>0</v>
      </c>
      <c r="D111" s="1" t="n">
        <f aca="false">INDEX('26. Team Comp'!$D$28:$R$28, B111) * 0.001 / 12</f>
        <v>0.636416666666667</v>
      </c>
      <c r="E111" s="1" t="n">
        <f aca="false"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>0</v>
      </c>
      <c r="F111" s="1" t="n">
        <f aca="false">IF(A111&lt;$F$6, 0, IF(AND($B$21=1, A111&gt;$B$19), 0, $E$6 * $G$6^((A111-$F$6)/12)))</f>
        <v>17.9887012513781</v>
      </c>
      <c r="G111" s="1" t="n">
        <f aca="false">IF(A111&lt;$F$7, 0, IF(AND($B$21=1, A111&gt;$B$19), 0, $E$7 * $G$7^((A111-$F$7)/12)))</f>
        <v>13.1698837383156</v>
      </c>
      <c r="H111" s="1" t="n">
        <f aca="false">IF(A111&lt;$F$8, 0, IF(AND($B$21=1, A111&gt;$B$19), 0, $E$8 * $G$8^((A111-$F$8)/12)))</f>
        <v>9.81971382864591</v>
      </c>
      <c r="I111" s="1" t="n">
        <f aca="false">IF(A111&lt;$F$9, 0, IF(AND($B$21=1, A111&gt;$B$19), 0, $E$9 * $G$9^((A111-$F$9)/12)))</f>
        <v>10.3663497235142</v>
      </c>
      <c r="J111" s="1" t="n">
        <f aca="false">IF(A111&lt;$F$10, 0, IF(AND($B$21=1, A111&gt;$B$19), 0, $E$10 * $G$10^((A111-$F$10)/12)))</f>
        <v>14.5985781815538</v>
      </c>
      <c r="K111" s="1" t="n">
        <f aca="false">IF(A111&lt;$F$11, 0, IF(AND($B$21=1, A111&gt;$B$19), 0, $E$11 * $G$11^((A111-$F$11)/12)))</f>
        <v>0</v>
      </c>
      <c r="L111" s="1" t="n">
        <f aca="false">IF(A111&lt;$F$12, 0, IF(AND($B$21=1, A111&gt;$B$19), 0, $E$12 * $G$12^((A111-$F$12)/12)))</f>
        <v>0</v>
      </c>
      <c r="M111" s="1" t="n">
        <f aca="false">IF(A111&lt;$F$13, 0, IF(AND($B$21=1, A111&gt;$B$19), 0, $E$13 * $G$13^((A111-$F$13)/12)))</f>
        <v>0</v>
      </c>
      <c r="N111" s="1" t="n">
        <f aca="false">IF(A111&lt;$F$14, 0, IF(AND($B$21=1, A111&gt;$B$19), 0, $E$14 * $G$14^((A111-$F$14)/12)))</f>
        <v>0</v>
      </c>
      <c r="O111" s="1" t="n">
        <f aca="false">SUM(F111:N111)</f>
        <v>65.9432267234077</v>
      </c>
      <c r="P111" s="1" t="n">
        <f aca="false">O111/12</f>
        <v>5.4952688936173</v>
      </c>
      <c r="Q111" s="1" t="n">
        <f aca="false">P111*$B$8</f>
        <v>0.54952688936173</v>
      </c>
      <c r="R111" s="1" t="n">
        <f aca="false">P111*$B$9</f>
        <v>0.274763444680865</v>
      </c>
      <c r="S111" s="1" t="n">
        <f aca="false">P111*$B$10</f>
        <v>0.329716133617038</v>
      </c>
      <c r="T111" s="1" t="n">
        <f aca="false">P111-Q111-R111-S111-D111-E111</f>
        <v>3.704845759291</v>
      </c>
      <c r="U111" s="1" t="n">
        <f aca="false">MAX(0, T111 - $B$7*P111)</f>
        <v>0</v>
      </c>
      <c r="V111" s="1" t="n">
        <f aca="false">T111-U111</f>
        <v>3.704845759291</v>
      </c>
      <c r="W111" s="1" t="n">
        <f aca="false"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>0</v>
      </c>
      <c r="X111" s="1" t="n">
        <f aca="false">V111-W111-C111</f>
        <v>3.704845759291</v>
      </c>
      <c r="Y111" s="1" t="n">
        <f aca="false">IF(AND(A111&lt;=$F$10, X111&gt;0), X111*$B$23, 0)</f>
        <v>0</v>
      </c>
      <c r="Z111" s="1" t="n">
        <f aca="false">X111-Y111+IF(A111=$F$10+1, MAX(0, SUM(INDEX(Y:Y,31):INDEX(Y:Y,30+$F$10)) - ('1. Press Assumptions'!$D$93*'1. Press Assumptions'!$E$93 - '1. Press Assumptions'!$D$93*0.1154*0.5)), 0)</f>
        <v>3.704845759291</v>
      </c>
      <c r="AA111" s="1" t="n">
        <f aca="false">IF(AND(A111=$B$19, $B$21=1), O111*$B$20, 0)</f>
        <v>0</v>
      </c>
      <c r="AB111" s="1" t="n">
        <f aca="false">AB110+Z111+AA111</f>
        <v>270.100714533984</v>
      </c>
    </row>
    <row r="112" customFormat="false" ht="15" hidden="false" customHeight="true" outlineLevel="0" collapsed="false">
      <c r="A112" s="1" t="n">
        <v>82</v>
      </c>
      <c r="B112" s="1" t="n">
        <f aca="false">CEILING(A112/12,1)</f>
        <v>7</v>
      </c>
      <c r="C112" s="1" t="n">
        <f aca="false">IF(A112&lt;=18, $B$15/12, 0)</f>
        <v>0</v>
      </c>
      <c r="D112" s="1" t="n">
        <f aca="false">INDEX('26. Team Comp'!$D$28:$R$28, B112) * 0.001 / 12</f>
        <v>0.636416666666667</v>
      </c>
      <c r="E112" s="1" t="n">
        <f aca="false"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>0</v>
      </c>
      <c r="F112" s="1" t="n">
        <f aca="false">IF(A112&lt;$F$6, 0, IF(AND($B$21=1, A112&gt;$B$19), 0, $E$6 * $G$6^((A112-$F$6)/12)))</f>
        <v>17.9119737061467</v>
      </c>
      <c r="G112" s="1" t="n">
        <f aca="false">IF(A112&lt;$F$7, 0, IF(AND($B$21=1, A112&gt;$B$19), 0, $E$7 * $G$7^((A112-$F$7)/12)))</f>
        <v>13.0547577383567</v>
      </c>
      <c r="H112" s="1" t="n">
        <f aca="false">IF(A112&lt;$F$8, 0, IF(AND($B$21=1, A112&gt;$B$19), 0, $E$8 * $G$8^((A112-$F$8)/12)))</f>
        <v>9.68761955855125</v>
      </c>
      <c r="I112" s="1" t="n">
        <f aca="false">IF(A112&lt;$F$9, 0, IF(AND($B$21=1, A112&gt;$B$19), 0, $E$9 * $G$9^((A112-$F$9)/12)))</f>
        <v>10.226902136327</v>
      </c>
      <c r="J112" s="1" t="n">
        <f aca="false">IF(A112&lt;$F$10, 0, IF(AND($B$21=1, A112&gt;$B$19), 0, $E$10 * $G$10^((A112-$F$10)/12)))</f>
        <v>14.5363105919103</v>
      </c>
      <c r="K112" s="1" t="n">
        <f aca="false">IF(A112&lt;$F$11, 0, IF(AND($B$21=1, A112&gt;$B$19), 0, $E$11 * $G$11^((A112-$F$11)/12)))</f>
        <v>0</v>
      </c>
      <c r="L112" s="1" t="n">
        <f aca="false">IF(A112&lt;$F$12, 0, IF(AND($B$21=1, A112&gt;$B$19), 0, $E$12 * $G$12^((A112-$F$12)/12)))</f>
        <v>0</v>
      </c>
      <c r="M112" s="1" t="n">
        <f aca="false">IF(A112&lt;$F$13, 0, IF(AND($B$21=1, A112&gt;$B$19), 0, $E$13 * $G$13^((A112-$F$13)/12)))</f>
        <v>0</v>
      </c>
      <c r="N112" s="1" t="n">
        <f aca="false">IF(A112&lt;$F$14, 0, IF(AND($B$21=1, A112&gt;$B$19), 0, $E$14 * $G$14^((A112-$F$14)/12)))</f>
        <v>0</v>
      </c>
      <c r="O112" s="1" t="n">
        <f aca="false">SUM(F112:N112)</f>
        <v>65.4175637312919</v>
      </c>
      <c r="P112" s="1" t="n">
        <f aca="false">O112/12</f>
        <v>5.45146364427433</v>
      </c>
      <c r="Q112" s="1" t="n">
        <f aca="false">P112*$B$8</f>
        <v>0.545146364427433</v>
      </c>
      <c r="R112" s="1" t="n">
        <f aca="false">P112*$B$9</f>
        <v>0.272573182213716</v>
      </c>
      <c r="S112" s="1" t="n">
        <f aca="false">P112*$B$10</f>
        <v>0.32708781865646</v>
      </c>
      <c r="T112" s="1" t="n">
        <f aca="false">P112-Q112-R112-S112-D112-E112</f>
        <v>3.67023961231005</v>
      </c>
      <c r="U112" s="1" t="n">
        <f aca="false">MAX(0, T112 - $B$7*P112)</f>
        <v>0</v>
      </c>
      <c r="V112" s="1" t="n">
        <f aca="false">T112-U112</f>
        <v>3.67023961231005</v>
      </c>
      <c r="W112" s="1" t="n">
        <f aca="false"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>0</v>
      </c>
      <c r="X112" s="1" t="n">
        <f aca="false">V112-W112-C112</f>
        <v>3.67023961231005</v>
      </c>
      <c r="Y112" s="1" t="n">
        <f aca="false">IF(AND(A112&lt;=$F$10, X112&gt;0), X112*$B$23, 0)</f>
        <v>0</v>
      </c>
      <c r="Z112" s="1" t="n">
        <f aca="false">X112-Y112+IF(A112=$F$10+1, MAX(0, SUM(INDEX(Y:Y,31):INDEX(Y:Y,30+$F$10)) - ('1. Press Assumptions'!$D$93*'1. Press Assumptions'!$E$93 - '1. Press Assumptions'!$D$93*0.1154*0.5)), 0)</f>
        <v>3.67023961231005</v>
      </c>
      <c r="AA112" s="1" t="n">
        <f aca="false">IF(AND(A112=$B$19, $B$21=1), O112*$B$20, 0)</f>
        <v>0</v>
      </c>
      <c r="AB112" s="1" t="n">
        <f aca="false">AB111+Z112+AA112</f>
        <v>273.770954146294</v>
      </c>
    </row>
    <row r="113" customFormat="false" ht="15" hidden="false" customHeight="true" outlineLevel="0" collapsed="false">
      <c r="A113" s="1" t="n">
        <v>83</v>
      </c>
      <c r="B113" s="1" t="n">
        <f aca="false">CEILING(A113/12,1)</f>
        <v>7</v>
      </c>
      <c r="C113" s="1" t="n">
        <f aca="false">IF(A113&lt;=18, $B$15/12, 0)</f>
        <v>0</v>
      </c>
      <c r="D113" s="1" t="n">
        <f aca="false">INDEX('26. Team Comp'!$D$28:$R$28, B113) * 0.001 / 12</f>
        <v>0.636416666666667</v>
      </c>
      <c r="E113" s="1" t="n">
        <f aca="false"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>0</v>
      </c>
      <c r="F113" s="1" t="n">
        <f aca="false">IF(A113&lt;$F$6, 0, IF(AND($B$21=1, A113&gt;$B$19), 0, $E$6 * $G$6^((A113-$F$6)/12)))</f>
        <v>17.8355734283547</v>
      </c>
      <c r="G113" s="1" t="n">
        <f aca="false">IF(A113&lt;$F$7, 0, IF(AND($B$21=1, A113&gt;$B$19), 0, $E$7 * $G$7^((A113-$F$7)/12)))</f>
        <v>12.9406381251002</v>
      </c>
      <c r="H113" s="1" t="n">
        <f aca="false">IF(A113&lt;$F$8, 0, IF(AND($B$21=1, A113&gt;$B$19), 0, $E$8 * $G$8^((A113-$F$8)/12)))</f>
        <v>9.55730221357847</v>
      </c>
      <c r="I113" s="1" t="n">
        <f aca="false">IF(A113&lt;$F$9, 0, IF(AND($B$21=1, A113&gt;$B$19), 0, $E$9 * $G$9^((A113-$F$9)/12)))</f>
        <v>10.0893303906935</v>
      </c>
      <c r="J113" s="1" t="n">
        <f aca="false">IF(A113&lt;$F$10, 0, IF(AND($B$21=1, A113&gt;$B$19), 0, $E$10 * $G$10^((A113-$F$10)/12)))</f>
        <v>14.4743085933862</v>
      </c>
      <c r="K113" s="1" t="n">
        <f aca="false">IF(A113&lt;$F$11, 0, IF(AND($B$21=1, A113&gt;$B$19), 0, $E$11 * $G$11^((A113-$F$11)/12)))</f>
        <v>0</v>
      </c>
      <c r="L113" s="1" t="n">
        <f aca="false">IF(A113&lt;$F$12, 0, IF(AND($B$21=1, A113&gt;$B$19), 0, $E$12 * $G$12^((A113-$F$12)/12)))</f>
        <v>0</v>
      </c>
      <c r="M113" s="1" t="n">
        <f aca="false">IF(A113&lt;$F$13, 0, IF(AND($B$21=1, A113&gt;$B$19), 0, $E$13 * $G$13^((A113-$F$13)/12)))</f>
        <v>0</v>
      </c>
      <c r="N113" s="1" t="n">
        <f aca="false">IF(A113&lt;$F$14, 0, IF(AND($B$21=1, A113&gt;$B$19), 0, $E$14 * $G$14^((A113-$F$14)/12)))</f>
        <v>0</v>
      </c>
      <c r="O113" s="1" t="n">
        <f aca="false">SUM(F113:N113)</f>
        <v>64.8971527511131</v>
      </c>
      <c r="P113" s="1" t="n">
        <f aca="false">O113/12</f>
        <v>5.40809606259276</v>
      </c>
      <c r="Q113" s="1" t="n">
        <f aca="false">P113*$B$8</f>
        <v>0.540809606259276</v>
      </c>
      <c r="R113" s="1" t="n">
        <f aca="false">P113*$B$9</f>
        <v>0.270404803129638</v>
      </c>
      <c r="S113" s="1" t="n">
        <f aca="false">P113*$B$10</f>
        <v>0.324485763755565</v>
      </c>
      <c r="T113" s="1" t="n">
        <f aca="false">P113-Q113-R113-S113-D113-E113</f>
        <v>3.63597922278161</v>
      </c>
      <c r="U113" s="1" t="n">
        <f aca="false">MAX(0, T113 - $B$7*P113)</f>
        <v>0</v>
      </c>
      <c r="V113" s="1" t="n">
        <f aca="false">T113-U113</f>
        <v>3.63597922278161</v>
      </c>
      <c r="W113" s="1" t="n">
        <f aca="false"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>0</v>
      </c>
      <c r="X113" s="1" t="n">
        <f aca="false">V113-W113-C113</f>
        <v>3.63597922278161</v>
      </c>
      <c r="Y113" s="1" t="n">
        <f aca="false">IF(AND(A113&lt;=$F$10, X113&gt;0), X113*$B$23, 0)</f>
        <v>0</v>
      </c>
      <c r="Z113" s="1" t="n">
        <f aca="false">X113-Y113+IF(A113=$F$10+1, MAX(0, SUM(INDEX(Y:Y,31):INDEX(Y:Y,30+$F$10)) - ('1. Press Assumptions'!$D$93*'1. Press Assumptions'!$E$93 - '1. Press Assumptions'!$D$93*0.1154*0.5)), 0)</f>
        <v>3.63597922278161</v>
      </c>
      <c r="AA113" s="1" t="n">
        <f aca="false">IF(AND(A113=$B$19, $B$21=1), O113*$B$20, 0)</f>
        <v>0</v>
      </c>
      <c r="AB113" s="1" t="n">
        <f aca="false">AB112+Z113+AA113</f>
        <v>277.406933369076</v>
      </c>
    </row>
    <row r="114" customFormat="false" ht="15" hidden="false" customHeight="true" outlineLevel="0" collapsed="false">
      <c r="A114" s="1" t="n">
        <v>84</v>
      </c>
      <c r="B114" s="1" t="n">
        <f aca="false">CEILING(A114/12,1)</f>
        <v>7</v>
      </c>
      <c r="C114" s="1" t="n">
        <f aca="false">IF(A114&lt;=18, $B$15/12, 0)</f>
        <v>0</v>
      </c>
      <c r="D114" s="1" t="n">
        <f aca="false">INDEX('26. Team Comp'!$D$28:$R$28, B114) * 0.001 / 12</f>
        <v>0.636416666666667</v>
      </c>
      <c r="E114" s="1" t="n">
        <f aca="false"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>0</v>
      </c>
      <c r="F114" s="1" t="n">
        <f aca="false">IF(A114&lt;$F$6, 0, IF(AND($B$21=1, A114&gt;$B$19), 0, $E$6 * $G$6^((A114-$F$6)/12)))</f>
        <v>17.7594990221022</v>
      </c>
      <c r="G114" s="1" t="n">
        <f aca="false">IF(A114&lt;$F$7, 0, IF(AND($B$21=1, A114&gt;$B$19), 0, $E$7 * $G$7^((A114-$F$7)/12)))</f>
        <v>12.827516101105</v>
      </c>
      <c r="H114" s="1" t="n">
        <f aca="false">IF(A114&lt;$F$8, 0, IF(AND($B$21=1, A114&gt;$B$19), 0, $E$8 * $G$8^((A114-$F$8)/12)))</f>
        <v>9.428737890625</v>
      </c>
      <c r="I114" s="1" t="n">
        <f aca="false">IF(A114&lt;$F$9, 0, IF(AND($B$21=1, A114&gt;$B$19), 0, $E$9 * $G$9^((A114-$F$9)/12)))</f>
        <v>9.95360925289267</v>
      </c>
      <c r="J114" s="1" t="n">
        <f aca="false">IF(A114&lt;$F$10, 0, IF(AND($B$21=1, A114&gt;$B$19), 0, $E$10 * $G$10^((A114-$F$10)/12)))</f>
        <v>14.4125710531506</v>
      </c>
      <c r="K114" s="1" t="n">
        <f aca="false">IF(A114&lt;$F$11, 0, IF(AND($B$21=1, A114&gt;$B$19), 0, $E$11 * $G$11^((A114-$F$11)/12)))</f>
        <v>0</v>
      </c>
      <c r="L114" s="1" t="n">
        <f aca="false">IF(A114&lt;$F$12, 0, IF(AND($B$21=1, A114&gt;$B$19), 0, $E$12 * $G$12^((A114-$F$12)/12)))</f>
        <v>0</v>
      </c>
      <c r="M114" s="1" t="n">
        <f aca="false">IF(A114&lt;$F$13, 0, IF(AND($B$21=1, A114&gt;$B$19), 0, $E$13 * $G$13^((A114-$F$13)/12)))</f>
        <v>0</v>
      </c>
      <c r="N114" s="1" t="n">
        <f aca="false">IF(A114&lt;$F$14, 0, IF(AND($B$21=1, A114&gt;$B$19), 0, $E$14 * $G$14^((A114-$F$14)/12)))</f>
        <v>0</v>
      </c>
      <c r="O114" s="1" t="n">
        <f aca="false">SUM(F114:N114)</f>
        <v>64.3819333198755</v>
      </c>
      <c r="P114" s="1" t="n">
        <f aca="false">O114/12</f>
        <v>5.36516110998962</v>
      </c>
      <c r="Q114" s="1" t="n">
        <f aca="false">P114*$B$8</f>
        <v>0.536516110998963</v>
      </c>
      <c r="R114" s="1" t="n">
        <f aca="false">P114*$B$9</f>
        <v>0.268258055499481</v>
      </c>
      <c r="S114" s="1" t="n">
        <f aca="false">P114*$B$10</f>
        <v>0.321909666599377</v>
      </c>
      <c r="T114" s="1" t="n">
        <f aca="false">P114-Q114-R114-S114-D114-E114</f>
        <v>3.60206061022514</v>
      </c>
      <c r="U114" s="1" t="n">
        <f aca="false">MAX(0, T114 - $B$7*P114)</f>
        <v>0</v>
      </c>
      <c r="V114" s="1" t="n">
        <f aca="false">T114-U114</f>
        <v>3.60206061022514</v>
      </c>
      <c r="W114" s="1" t="n">
        <f aca="false"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>0</v>
      </c>
      <c r="X114" s="1" t="n">
        <f aca="false">V114-W114-C114</f>
        <v>3.60206061022514</v>
      </c>
      <c r="Y114" s="1" t="n">
        <f aca="false">IF(AND(A114&lt;=$F$10, X114&gt;0), X114*$B$23, 0)</f>
        <v>0</v>
      </c>
      <c r="Z114" s="1" t="n">
        <f aca="false">X114-Y114+IF(A114=$F$10+1, MAX(0, SUM(INDEX(Y:Y,31):INDEX(Y:Y,30+$F$10)) - ('1. Press Assumptions'!$D$93*'1. Press Assumptions'!$E$93 - '1. Press Assumptions'!$D$93*0.1154*0.5)), 0)</f>
        <v>3.60206061022514</v>
      </c>
      <c r="AA114" s="1" t="n">
        <f aca="false">IF(AND(A114=$B$19, $B$21=1), O114*$B$20, 0)</f>
        <v>0</v>
      </c>
      <c r="AB114" s="1" t="n">
        <f aca="false">AB113+Z114+AA114</f>
        <v>281.008993979301</v>
      </c>
    </row>
    <row r="115" customFormat="false" ht="15" hidden="false" customHeight="true" outlineLevel="0" collapsed="false">
      <c r="A115" s="1" t="n">
        <v>85</v>
      </c>
      <c r="B115" s="1" t="n">
        <f aca="false">CEILING(A115/12,1)</f>
        <v>8</v>
      </c>
      <c r="C115" s="1" t="n">
        <f aca="false">IF(A115&lt;=18, $B$15/12, 0)</f>
        <v>0</v>
      </c>
      <c r="D115" s="1" t="n">
        <f aca="false">INDEX('26. Team Comp'!$D$28:$R$28, B115) * 0.001 / 12</f>
        <v>0.636416666666667</v>
      </c>
      <c r="E115" s="1" t="n">
        <f aca="false"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>0</v>
      </c>
      <c r="F115" s="1" t="n">
        <f aca="false">IF(A115&lt;$F$6, 0, IF(AND($B$21=1, A115&gt;$B$19), 0, $E$6 * $G$6^((A115-$F$6)/12)))</f>
        <v>17.6837490974431</v>
      </c>
      <c r="G115" s="1" t="n">
        <f aca="false">IF(A115&lt;$F$7, 0, IF(AND($B$21=1, A115&gt;$B$19), 0, $E$7 * $G$7^((A115-$F$7)/12)))</f>
        <v>12.715382945834</v>
      </c>
      <c r="H115" s="1" t="n">
        <f aca="false">IF(A115&lt;$F$8, 0, IF(AND($B$21=1, A115&gt;$B$19), 0, $E$8 * $G$8^((A115-$F$8)/12)))</f>
        <v>9.30190300813151</v>
      </c>
      <c r="I115" s="1" t="n">
        <f aca="false">IF(A115&lt;$F$9, 0, IF(AND($B$21=1, A115&gt;$B$19), 0, $E$9 * $G$9^((A115-$F$9)/12)))</f>
        <v>9.81971382864591</v>
      </c>
      <c r="J115" s="1" t="n">
        <f aca="false">IF(A115&lt;$F$10, 0, IF(AND($B$21=1, A115&gt;$B$19), 0, $E$10 * $G$10^((A115-$F$10)/12)))</f>
        <v>14.3510968432047</v>
      </c>
      <c r="K115" s="1" t="n">
        <f aca="false">IF(A115&lt;$F$11, 0, IF(AND($B$21=1, A115&gt;$B$19), 0, $E$11 * $G$11^((A115-$F$11)/12)))</f>
        <v>0</v>
      </c>
      <c r="L115" s="1" t="n">
        <f aca="false">IF(A115&lt;$F$12, 0, IF(AND($B$21=1, A115&gt;$B$19), 0, $E$12 * $G$12^((A115-$F$12)/12)))</f>
        <v>0</v>
      </c>
      <c r="M115" s="1" t="n">
        <f aca="false">IF(A115&lt;$F$13, 0, IF(AND($B$21=1, A115&gt;$B$19), 0, $E$13 * $G$13^((A115-$F$13)/12)))</f>
        <v>0</v>
      </c>
      <c r="N115" s="1" t="n">
        <f aca="false">IF(A115&lt;$F$14, 0, IF(AND($B$21=1, A115&gt;$B$19), 0, $E$14 * $G$14^((A115-$F$14)/12)))</f>
        <v>0</v>
      </c>
      <c r="O115" s="1" t="n">
        <f aca="false">SUM(F115:N115)</f>
        <v>63.8718457232593</v>
      </c>
      <c r="P115" s="1" t="n">
        <f aca="false">O115/12</f>
        <v>5.32265381027161</v>
      </c>
      <c r="Q115" s="1" t="n">
        <f aca="false">P115*$B$8</f>
        <v>0.532265381027161</v>
      </c>
      <c r="R115" s="1" t="n">
        <f aca="false">P115*$B$9</f>
        <v>0.26613269051358</v>
      </c>
      <c r="S115" s="1" t="n">
        <f aca="false">P115*$B$10</f>
        <v>0.319359228616296</v>
      </c>
      <c r="T115" s="1" t="n">
        <f aca="false">P115-Q115-R115-S115-D115-E115</f>
        <v>3.5684798434479</v>
      </c>
      <c r="U115" s="1" t="n">
        <f aca="false">MAX(0, T115 - $B$7*P115)</f>
        <v>0</v>
      </c>
      <c r="V115" s="1" t="n">
        <f aca="false">T115-U115</f>
        <v>3.5684798434479</v>
      </c>
      <c r="W115" s="1" t="n">
        <f aca="false"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>0</v>
      </c>
      <c r="X115" s="1" t="n">
        <f aca="false">V115-W115-C115</f>
        <v>3.5684798434479</v>
      </c>
      <c r="Y115" s="1" t="n">
        <f aca="false">IF(AND(A115&lt;=$F$10, X115&gt;0), X115*$B$23, 0)</f>
        <v>0</v>
      </c>
      <c r="Z115" s="1" t="n">
        <f aca="false">X115-Y115+IF(A115=$F$10+1, MAX(0, SUM(INDEX(Y:Y,31):INDEX(Y:Y,30+$F$10)) - ('1. Press Assumptions'!$D$93*'1. Press Assumptions'!$E$93 - '1. Press Assumptions'!$D$93*0.1154*0.5)), 0)</f>
        <v>3.5684798434479</v>
      </c>
      <c r="AA115" s="1" t="n">
        <f aca="false">IF(AND(A115=$B$19, $B$21=1), O115*$B$20, 0)</f>
        <v>0</v>
      </c>
      <c r="AB115" s="1" t="n">
        <f aca="false">AB114+Z115+AA115</f>
        <v>284.577473822749</v>
      </c>
    </row>
    <row r="116" customFormat="false" ht="15" hidden="false" customHeight="true" outlineLevel="0" collapsed="false">
      <c r="A116" s="1" t="n">
        <v>86</v>
      </c>
      <c r="B116" s="1" t="n">
        <f aca="false">CEILING(A116/12,1)</f>
        <v>8</v>
      </c>
      <c r="C116" s="1" t="n">
        <f aca="false">IF(A116&lt;=18, $B$15/12, 0)</f>
        <v>0</v>
      </c>
      <c r="D116" s="1" t="n">
        <f aca="false">INDEX('26. Team Comp'!$D$28:$R$28, B116) * 0.001 / 12</f>
        <v>0.636416666666667</v>
      </c>
      <c r="E116" s="1" t="n">
        <f aca="false"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>0</v>
      </c>
      <c r="F116" s="1" t="n">
        <f aca="false">IF(A116&lt;$F$6, 0, IF(AND($B$21=1, A116&gt;$B$19), 0, $E$6 * $G$6^((A116-$F$6)/12)))</f>
        <v>17.6083222703601</v>
      </c>
      <c r="G116" s="1" t="n">
        <f aca="false">IF(A116&lt;$F$7, 0, IF(AND($B$21=1, A116&gt;$B$19), 0, $E$7 * $G$7^((A116-$F$7)/12)))</f>
        <v>12.6042300149816</v>
      </c>
      <c r="H116" s="1" t="n">
        <f aca="false">IF(A116&lt;$F$8, 0, IF(AND($B$21=1, A116&gt;$B$19), 0, $E$8 * $G$8^((A116-$F$8)/12)))</f>
        <v>9.17677430175658</v>
      </c>
      <c r="I116" s="1" t="n">
        <f aca="false">IF(A116&lt;$F$9, 0, IF(AND($B$21=1, A116&gt;$B$19), 0, $E$9 * $G$9^((A116-$F$9)/12)))</f>
        <v>9.68761955855125</v>
      </c>
      <c r="J116" s="1" t="n">
        <f aca="false">IF(A116&lt;$F$10, 0, IF(AND($B$21=1, A116&gt;$B$19), 0, $E$10 * $G$10^((A116-$F$10)/12)))</f>
        <v>14.2898848403608</v>
      </c>
      <c r="K116" s="1" t="n">
        <f aca="false">IF(A116&lt;$F$11, 0, IF(AND($B$21=1, A116&gt;$B$19), 0, $E$11 * $G$11^((A116-$F$11)/12)))</f>
        <v>0</v>
      </c>
      <c r="L116" s="1" t="n">
        <f aca="false">IF(A116&lt;$F$12, 0, IF(AND($B$21=1, A116&gt;$B$19), 0, $E$12 * $G$12^((A116-$F$12)/12)))</f>
        <v>0</v>
      </c>
      <c r="M116" s="1" t="n">
        <f aca="false">IF(A116&lt;$F$13, 0, IF(AND($B$21=1, A116&gt;$B$19), 0, $E$13 * $G$13^((A116-$F$13)/12)))</f>
        <v>0</v>
      </c>
      <c r="N116" s="1" t="n">
        <f aca="false">IF(A116&lt;$F$14, 0, IF(AND($B$21=1, A116&gt;$B$19), 0, $E$14 * $G$14^((A116-$F$14)/12)))</f>
        <v>0</v>
      </c>
      <c r="O116" s="1" t="n">
        <f aca="false">SUM(F116:N116)</f>
        <v>63.3668309860103</v>
      </c>
      <c r="P116" s="1" t="n">
        <f aca="false">O116/12</f>
        <v>5.2805692488342</v>
      </c>
      <c r="Q116" s="1" t="n">
        <f aca="false">P116*$B$8</f>
        <v>0.52805692488342</v>
      </c>
      <c r="R116" s="1" t="n">
        <f aca="false">P116*$B$9</f>
        <v>0.26402846244171</v>
      </c>
      <c r="S116" s="1" t="n">
        <f aca="false">P116*$B$10</f>
        <v>0.316834154930052</v>
      </c>
      <c r="T116" s="1" t="n">
        <f aca="false">P116-Q116-R116-S116-D116-E116</f>
        <v>3.53523303991235</v>
      </c>
      <c r="U116" s="1" t="n">
        <f aca="false">MAX(0, T116 - $B$7*P116)</f>
        <v>0</v>
      </c>
      <c r="V116" s="1" t="n">
        <f aca="false">T116-U116</f>
        <v>3.53523303991235</v>
      </c>
      <c r="W116" s="1" t="n">
        <f aca="false"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>0</v>
      </c>
      <c r="X116" s="1" t="n">
        <f aca="false">V116-W116-C116</f>
        <v>3.53523303991235</v>
      </c>
      <c r="Y116" s="1" t="n">
        <f aca="false">IF(AND(A116&lt;=$F$10, X116&gt;0), X116*$B$23, 0)</f>
        <v>0</v>
      </c>
      <c r="Z116" s="1" t="n">
        <f aca="false">X116-Y116+IF(A116=$F$10+1, MAX(0, SUM(INDEX(Y:Y,31):INDEX(Y:Y,30+$F$10)) - ('1. Press Assumptions'!$D$93*'1. Press Assumptions'!$E$93 - '1. Press Assumptions'!$D$93*0.1154*0.5)), 0)</f>
        <v>3.53523303991235</v>
      </c>
      <c r="AA116" s="1" t="n">
        <f aca="false">IF(AND(A116=$B$19, $B$21=1), O116*$B$20, 0)</f>
        <v>0</v>
      </c>
      <c r="AB116" s="1" t="n">
        <f aca="false">AB115+Z116+AA116</f>
        <v>288.112706862661</v>
      </c>
    </row>
    <row r="117" customFormat="false" ht="15" hidden="false" customHeight="true" outlineLevel="0" collapsed="false">
      <c r="A117" s="1" t="n">
        <v>87</v>
      </c>
      <c r="B117" s="1" t="n">
        <f aca="false">CEILING(A117/12,1)</f>
        <v>8</v>
      </c>
      <c r="C117" s="1" t="n">
        <f aca="false">IF(A117&lt;=18, $B$15/12, 0)</f>
        <v>0</v>
      </c>
      <c r="D117" s="1" t="n">
        <f aca="false">INDEX('26. Team Comp'!$D$28:$R$28, B117) * 0.001 / 12</f>
        <v>0.636416666666667</v>
      </c>
      <c r="E117" s="1" t="n">
        <f aca="false"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>0</v>
      </c>
      <c r="F117" s="1" t="n">
        <f aca="false">IF(A117&lt;$F$6, 0, IF(AND($B$21=1, A117&gt;$B$19), 0, $E$6 * $G$6^((A117-$F$6)/12)))</f>
        <v>17.533217162739</v>
      </c>
      <c r="G117" s="1" t="n">
        <f aca="false">IF(A117&lt;$F$7, 0, IF(AND($B$21=1, A117&gt;$B$19), 0, $E$7 * $G$7^((A117-$F$7)/12)))</f>
        <v>12.4940487398071</v>
      </c>
      <c r="H117" s="1" t="n">
        <f aca="false">IF(A117&lt;$F$8, 0, IF(AND($B$21=1, A117&gt;$B$19), 0, $E$8 * $G$8^((A117-$F$8)/12)))</f>
        <v>9.05332882010947</v>
      </c>
      <c r="I117" s="1" t="n">
        <f aca="false">IF(A117&lt;$F$9, 0, IF(AND($B$21=1, A117&gt;$B$19), 0, $E$9 * $G$9^((A117-$F$9)/12)))</f>
        <v>9.55730221357847</v>
      </c>
      <c r="J117" s="1" t="n">
        <f aca="false">IF(A117&lt;$F$10, 0, IF(AND($B$21=1, A117&gt;$B$19), 0, $E$10 * $G$10^((A117-$F$10)/12)))</f>
        <v>14.228933926222</v>
      </c>
      <c r="K117" s="1" t="n">
        <f aca="false">IF(A117&lt;$F$11, 0, IF(AND($B$21=1, A117&gt;$B$19), 0, $E$11 * $G$11^((A117-$F$11)/12)))</f>
        <v>0</v>
      </c>
      <c r="L117" s="1" t="n">
        <f aca="false">IF(A117&lt;$F$12, 0, IF(AND($B$21=1, A117&gt;$B$19), 0, $E$12 * $G$12^((A117-$F$12)/12)))</f>
        <v>0</v>
      </c>
      <c r="M117" s="1" t="n">
        <f aca="false">IF(A117&lt;$F$13, 0, IF(AND($B$21=1, A117&gt;$B$19), 0, $E$13 * $G$13^((A117-$F$13)/12)))</f>
        <v>0</v>
      </c>
      <c r="N117" s="1" t="n">
        <f aca="false">IF(A117&lt;$F$14, 0, IF(AND($B$21=1, A117&gt;$B$19), 0, $E$14 * $G$14^((A117-$F$14)/12)))</f>
        <v>0</v>
      </c>
      <c r="O117" s="1" t="n">
        <f aca="false">SUM(F117:N117)</f>
        <v>62.8668308624561</v>
      </c>
      <c r="P117" s="1" t="n">
        <f aca="false">O117/12</f>
        <v>5.23890257187134</v>
      </c>
      <c r="Q117" s="1" t="n">
        <f aca="false">P117*$B$8</f>
        <v>0.523890257187134</v>
      </c>
      <c r="R117" s="1" t="n">
        <f aca="false">P117*$B$9</f>
        <v>0.261945128593567</v>
      </c>
      <c r="S117" s="1" t="n">
        <f aca="false">P117*$B$10</f>
        <v>0.314334154312281</v>
      </c>
      <c r="T117" s="1" t="n">
        <f aca="false">P117-Q117-R117-S117-D117-E117</f>
        <v>3.50231636511169</v>
      </c>
      <c r="U117" s="1" t="n">
        <f aca="false">MAX(0, T117 - $B$7*P117)</f>
        <v>0</v>
      </c>
      <c r="V117" s="1" t="n">
        <f aca="false">T117-U117</f>
        <v>3.50231636511169</v>
      </c>
      <c r="W117" s="1" t="n">
        <f aca="false"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>0</v>
      </c>
      <c r="X117" s="1" t="n">
        <f aca="false">V117-W117-C117</f>
        <v>3.50231636511169</v>
      </c>
      <c r="Y117" s="1" t="n">
        <f aca="false">IF(AND(A117&lt;=$F$10, X117&gt;0), X117*$B$23, 0)</f>
        <v>0</v>
      </c>
      <c r="Z117" s="1" t="n">
        <f aca="false">X117-Y117+IF(A117=$F$10+1, MAX(0, SUM(INDEX(Y:Y,31):INDEX(Y:Y,30+$F$10)) - ('1. Press Assumptions'!$D$93*'1. Press Assumptions'!$E$93 - '1. Press Assumptions'!$D$93*0.1154*0.5)), 0)</f>
        <v>3.50231636511169</v>
      </c>
      <c r="AA117" s="1" t="n">
        <f aca="false">IF(AND(A117=$B$19, $B$21=1), O117*$B$20, 0)</f>
        <v>0</v>
      </c>
      <c r="AB117" s="1" t="n">
        <f aca="false">AB116+Z117+AA117</f>
        <v>291.615023227773</v>
      </c>
    </row>
    <row r="118" customFormat="false" ht="15" hidden="false" customHeight="true" outlineLevel="0" collapsed="false">
      <c r="A118" s="1" t="n">
        <v>88</v>
      </c>
      <c r="B118" s="1" t="n">
        <f aca="false">CEILING(A118/12,1)</f>
        <v>8</v>
      </c>
      <c r="C118" s="1" t="n">
        <f aca="false">IF(A118&lt;=18, $B$15/12, 0)</f>
        <v>0</v>
      </c>
      <c r="D118" s="1" t="n">
        <f aca="false">INDEX('26. Team Comp'!$D$28:$R$28, B118) * 0.001 / 12</f>
        <v>0.636416666666667</v>
      </c>
      <c r="E118" s="1" t="n">
        <f aca="false"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>0</v>
      </c>
      <c r="F118" s="1" t="n">
        <f aca="false">IF(A118&lt;$F$6, 0, IF(AND($B$21=1, A118&gt;$B$19), 0, $E$6 * $G$6^((A118-$F$6)/12)))</f>
        <v>17.4584324023437</v>
      </c>
      <c r="G118" s="1" t="n">
        <f aca="false">IF(A118&lt;$F$7, 0, IF(AND($B$21=1, A118&gt;$B$19), 0, $E$7 * $G$7^((A118-$F$7)/12)))</f>
        <v>12.3848306264747</v>
      </c>
      <c r="H118" s="1" t="n">
        <f aca="false">IF(A118&lt;$F$8, 0, IF(AND($B$21=1, A118&gt;$B$19), 0, $E$8 * $G$8^((A118-$F$8)/12)))</f>
        <v>8.93154392054034</v>
      </c>
      <c r="I118" s="1" t="n">
        <f aca="false">IF(A118&lt;$F$9, 0, IF(AND($B$21=1, A118&gt;$B$19), 0, $E$9 * $G$9^((A118-$F$9)/12)))</f>
        <v>9.428737890625</v>
      </c>
      <c r="J118" s="1" t="n">
        <f aca="false">IF(A118&lt;$F$10, 0, IF(AND($B$21=1, A118&gt;$B$19), 0, $E$10 * $G$10^((A118-$F$10)/12)))</f>
        <v>14.1682429871618</v>
      </c>
      <c r="K118" s="1" t="n">
        <f aca="false">IF(A118&lt;$F$11, 0, IF(AND($B$21=1, A118&gt;$B$19), 0, $E$11 * $G$11^((A118-$F$11)/12)))</f>
        <v>0</v>
      </c>
      <c r="L118" s="1" t="n">
        <f aca="false">IF(A118&lt;$F$12, 0, IF(AND($B$21=1, A118&gt;$B$19), 0, $E$12 * $G$12^((A118-$F$12)/12)))</f>
        <v>0</v>
      </c>
      <c r="M118" s="1" t="n">
        <f aca="false">IF(A118&lt;$F$13, 0, IF(AND($B$21=1, A118&gt;$B$19), 0, $E$13 * $G$13^((A118-$F$13)/12)))</f>
        <v>0</v>
      </c>
      <c r="N118" s="1" t="n">
        <f aca="false">IF(A118&lt;$F$14, 0, IF(AND($B$21=1, A118&gt;$B$19), 0, $E$14 * $G$14^((A118-$F$14)/12)))</f>
        <v>0</v>
      </c>
      <c r="O118" s="1" t="n">
        <f aca="false">SUM(F118:N118)</f>
        <v>62.3717878271456</v>
      </c>
      <c r="P118" s="1" t="n">
        <f aca="false">O118/12</f>
        <v>5.19764898559547</v>
      </c>
      <c r="Q118" s="1" t="n">
        <f aca="false">P118*$B$8</f>
        <v>0.519764898559547</v>
      </c>
      <c r="R118" s="1" t="n">
        <f aca="false">P118*$B$9</f>
        <v>0.259882449279773</v>
      </c>
      <c r="S118" s="1" t="n">
        <f aca="false">P118*$B$10</f>
        <v>0.311858939135728</v>
      </c>
      <c r="T118" s="1" t="n">
        <f aca="false">P118-Q118-R118-S118-D118-E118</f>
        <v>3.46972603195375</v>
      </c>
      <c r="U118" s="1" t="n">
        <f aca="false">MAX(0, T118 - $B$7*P118)</f>
        <v>0</v>
      </c>
      <c r="V118" s="1" t="n">
        <f aca="false">T118-U118</f>
        <v>3.46972603195375</v>
      </c>
      <c r="W118" s="1" t="n">
        <f aca="false"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>0</v>
      </c>
      <c r="X118" s="1" t="n">
        <f aca="false">V118-W118-C118</f>
        <v>3.46972603195375</v>
      </c>
      <c r="Y118" s="1" t="n">
        <f aca="false">IF(AND(A118&lt;=$F$10, X118&gt;0), X118*$B$23, 0)</f>
        <v>0</v>
      </c>
      <c r="Z118" s="1" t="n">
        <f aca="false">X118-Y118+IF(A118=$F$10+1, MAX(0, SUM(INDEX(Y:Y,31):INDEX(Y:Y,30+$F$10)) - ('1. Press Assumptions'!$D$93*'1. Press Assumptions'!$E$93 - '1. Press Assumptions'!$D$93*0.1154*0.5)), 0)</f>
        <v>3.46972603195375</v>
      </c>
      <c r="AA118" s="1" t="n">
        <f aca="false">IF(AND(A118=$B$19, $B$21=1), O118*$B$20, 0)</f>
        <v>0</v>
      </c>
      <c r="AB118" s="1" t="n">
        <f aca="false">AB117+Z118+AA118</f>
        <v>295.084749259727</v>
      </c>
    </row>
    <row r="119" customFormat="false" ht="15" hidden="false" customHeight="true" outlineLevel="0" collapsed="false">
      <c r="A119" s="1" t="n">
        <v>89</v>
      </c>
      <c r="B119" s="1" t="n">
        <f aca="false">CEILING(A119/12,1)</f>
        <v>8</v>
      </c>
      <c r="C119" s="1" t="n">
        <f aca="false">IF(A119&lt;=18, $B$15/12, 0)</f>
        <v>0</v>
      </c>
      <c r="D119" s="1" t="n">
        <f aca="false">INDEX('26. Team Comp'!$D$28:$R$28, B119) * 0.001 / 12</f>
        <v>0.636416666666667</v>
      </c>
      <c r="E119" s="1" t="n">
        <f aca="false"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>0</v>
      </c>
      <c r="F119" s="1" t="n">
        <f aca="false">IF(A119&lt;$F$6, 0, IF(AND($B$21=1, A119&gt;$B$19), 0, $E$6 * $G$6^((A119-$F$6)/12)))</f>
        <v>17.3839666227913</v>
      </c>
      <c r="G119" s="1" t="n">
        <f aca="false">IF(A119&lt;$F$7, 0, IF(AND($B$21=1, A119&gt;$B$19), 0, $E$7 * $G$7^((A119-$F$7)/12)))</f>
        <v>12.2765672553982</v>
      </c>
      <c r="H119" s="1" t="n">
        <f aca="false">IF(A119&lt;$F$8, 0, IF(AND($B$21=1, A119&gt;$B$19), 0, $E$8 * $G$8^((A119-$F$8)/12)))</f>
        <v>8.81139726498705</v>
      </c>
      <c r="I119" s="1" t="n">
        <f aca="false">IF(A119&lt;$F$9, 0, IF(AND($B$21=1, A119&gt;$B$19), 0, $E$9 * $G$9^((A119-$F$9)/12)))</f>
        <v>9.30190300813151</v>
      </c>
      <c r="J119" s="1" t="n">
        <f aca="false">IF(A119&lt;$F$10, 0, IF(AND($B$21=1, A119&gt;$B$19), 0, $E$10 * $G$10^((A119-$F$10)/12)))</f>
        <v>14.1078109143037</v>
      </c>
      <c r="K119" s="1" t="n">
        <f aca="false">IF(A119&lt;$F$11, 0, IF(AND($B$21=1, A119&gt;$B$19), 0, $E$11 * $G$11^((A119-$F$11)/12)))</f>
        <v>0</v>
      </c>
      <c r="L119" s="1" t="n">
        <f aca="false">IF(A119&lt;$F$12, 0, IF(AND($B$21=1, A119&gt;$B$19), 0, $E$12 * $G$12^((A119-$F$12)/12)))</f>
        <v>0</v>
      </c>
      <c r="M119" s="1" t="n">
        <f aca="false">IF(A119&lt;$F$13, 0, IF(AND($B$21=1, A119&gt;$B$19), 0, $E$13 * $G$13^((A119-$F$13)/12)))</f>
        <v>0</v>
      </c>
      <c r="N119" s="1" t="n">
        <f aca="false">IF(A119&lt;$F$14, 0, IF(AND($B$21=1, A119&gt;$B$19), 0, $E$14 * $G$14^((A119-$F$14)/12)))</f>
        <v>0</v>
      </c>
      <c r="O119" s="1" t="n">
        <f aca="false">SUM(F119:N119)</f>
        <v>61.8816450656117</v>
      </c>
      <c r="P119" s="1" t="n">
        <f aca="false">O119/12</f>
        <v>5.15680375546764</v>
      </c>
      <c r="Q119" s="1" t="n">
        <f aca="false">P119*$B$8</f>
        <v>0.515680375546764</v>
      </c>
      <c r="R119" s="1" t="n">
        <f aca="false">P119*$B$9</f>
        <v>0.257840187773382</v>
      </c>
      <c r="S119" s="1" t="n">
        <f aca="false">P119*$B$10</f>
        <v>0.309408225328059</v>
      </c>
      <c r="T119" s="1" t="n">
        <f aca="false">P119-Q119-R119-S119-D119-E119</f>
        <v>3.43745830015277</v>
      </c>
      <c r="U119" s="1" t="n">
        <f aca="false">MAX(0, T119 - $B$7*P119)</f>
        <v>0</v>
      </c>
      <c r="V119" s="1" t="n">
        <f aca="false">T119-U119</f>
        <v>3.43745830015277</v>
      </c>
      <c r="W119" s="1" t="n">
        <f aca="false"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>0</v>
      </c>
      <c r="X119" s="1" t="n">
        <f aca="false">V119-W119-C119</f>
        <v>3.43745830015277</v>
      </c>
      <c r="Y119" s="1" t="n">
        <f aca="false">IF(AND(A119&lt;=$F$10, X119&gt;0), X119*$B$23, 0)</f>
        <v>0</v>
      </c>
      <c r="Z119" s="1" t="n">
        <f aca="false">X119-Y119+IF(A119=$F$10+1, MAX(0, SUM(INDEX(Y:Y,31):INDEX(Y:Y,30+$F$10)) - ('1. Press Assumptions'!$D$93*'1. Press Assumptions'!$E$93 - '1. Press Assumptions'!$D$93*0.1154*0.5)), 0)</f>
        <v>3.43745830015277</v>
      </c>
      <c r="AA119" s="1" t="n">
        <f aca="false">IF(AND(A119=$B$19, $B$21=1), O119*$B$20, 0)</f>
        <v>0</v>
      </c>
      <c r="AB119" s="1" t="n">
        <f aca="false">AB118+Z119+AA119</f>
        <v>298.52220755988</v>
      </c>
    </row>
    <row r="120" customFormat="false" ht="15" hidden="false" customHeight="true" outlineLevel="0" collapsed="false">
      <c r="A120" s="1" t="n">
        <v>90</v>
      </c>
      <c r="B120" s="1" t="n">
        <f aca="false">CEILING(A120/12,1)</f>
        <v>8</v>
      </c>
      <c r="C120" s="1" t="n">
        <f aca="false">IF(A120&lt;=18, $B$15/12, 0)</f>
        <v>0</v>
      </c>
      <c r="D120" s="1" t="n">
        <f aca="false">INDEX('26. Team Comp'!$D$28:$R$28, B120) * 0.001 / 12</f>
        <v>0.636416666666667</v>
      </c>
      <c r="E120" s="1" t="n">
        <f aca="false"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>0</v>
      </c>
      <c r="F120" s="1" t="n">
        <f aca="false">IF(A120&lt;$F$6, 0, IF(AND($B$21=1, A120&gt;$B$19), 0, $E$6 * $G$6^((A120-$F$6)/12)))</f>
        <v>17.3098184635266</v>
      </c>
      <c r="G120" s="1" t="n">
        <f aca="false">IF(A120&lt;$F$7, 0, IF(AND($B$21=1, A120&gt;$B$19), 0, $E$7 * $G$7^((A120-$F$7)/12)))</f>
        <v>12.1692502805924</v>
      </c>
      <c r="H120" s="1" t="n">
        <f aca="false">IF(A120&lt;$F$8, 0, IF(AND($B$21=1, A120&gt;$B$19), 0, $E$8 * $G$8^((A120-$F$8)/12)))</f>
        <v>8.69286681587791</v>
      </c>
      <c r="I120" s="1" t="n">
        <f aca="false">IF(A120&lt;$F$9, 0, IF(AND($B$21=1, A120&gt;$B$19), 0, $E$9 * $G$9^((A120-$F$9)/12)))</f>
        <v>9.17677430175658</v>
      </c>
      <c r="J120" s="1" t="n">
        <f aca="false">IF(A120&lt;$F$10, 0, IF(AND($B$21=1, A120&gt;$B$19), 0, $E$10 * $G$10^((A120-$F$10)/12)))</f>
        <v>14.0476366035006</v>
      </c>
      <c r="K120" s="1" t="n">
        <f aca="false">IF(A120&lt;$F$11, 0, IF(AND($B$21=1, A120&gt;$B$19), 0, $E$11 * $G$11^((A120-$F$11)/12)))</f>
        <v>0</v>
      </c>
      <c r="L120" s="1" t="n">
        <f aca="false">IF(A120&lt;$F$12, 0, IF(AND($B$21=1, A120&gt;$B$19), 0, $E$12 * $G$12^((A120-$F$12)/12)))</f>
        <v>0</v>
      </c>
      <c r="M120" s="1" t="n">
        <f aca="false">IF(A120&lt;$F$13, 0, IF(AND($B$21=1, A120&gt;$B$19), 0, $E$13 * $G$13^((A120-$F$13)/12)))</f>
        <v>0</v>
      </c>
      <c r="N120" s="1" t="n">
        <f aca="false">IF(A120&lt;$F$14, 0, IF(AND($B$21=1, A120&gt;$B$19), 0, $E$14 * $G$14^((A120-$F$14)/12)))</f>
        <v>0</v>
      </c>
      <c r="O120" s="1" t="n">
        <f aca="false">SUM(F120:N120)</f>
        <v>61.3963464652541</v>
      </c>
      <c r="P120" s="1" t="n">
        <f aca="false">O120/12</f>
        <v>5.11636220543784</v>
      </c>
      <c r="Q120" s="1" t="n">
        <f aca="false">P120*$B$8</f>
        <v>0.511636220543784</v>
      </c>
      <c r="R120" s="1" t="n">
        <f aca="false">P120*$B$9</f>
        <v>0.255818110271892</v>
      </c>
      <c r="S120" s="1" t="n">
        <f aca="false">P120*$B$10</f>
        <v>0.30698173232627</v>
      </c>
      <c r="T120" s="1" t="n">
        <f aca="false">P120-Q120-R120-S120-D120-E120</f>
        <v>3.40550947562923</v>
      </c>
      <c r="U120" s="1" t="n">
        <f aca="false">MAX(0, T120 - $B$7*P120)</f>
        <v>0</v>
      </c>
      <c r="V120" s="1" t="n">
        <f aca="false">T120-U120</f>
        <v>3.40550947562923</v>
      </c>
      <c r="W120" s="1" t="n">
        <f aca="false"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>0</v>
      </c>
      <c r="X120" s="1" t="n">
        <f aca="false">V120-W120-C120</f>
        <v>3.40550947562923</v>
      </c>
      <c r="Y120" s="1" t="n">
        <f aca="false">IF(AND(A120&lt;=$F$10, X120&gt;0), X120*$B$23, 0)</f>
        <v>0</v>
      </c>
      <c r="Z120" s="1" t="n">
        <f aca="false">X120-Y120+IF(A120=$F$10+1, MAX(0, SUM(INDEX(Y:Y,31):INDEX(Y:Y,30+$F$10)) - ('1. Press Assumptions'!$D$93*'1. Press Assumptions'!$E$93 - '1. Press Assumptions'!$D$93*0.1154*0.5)), 0)</f>
        <v>3.40550947562923</v>
      </c>
      <c r="AA120" s="1" t="n">
        <f aca="false">IF(AND(A120=$B$19, $B$21=1), O120*$B$20, 0)</f>
        <v>0</v>
      </c>
      <c r="AB120" s="1" t="n">
        <f aca="false">AB119+Z120+AA120</f>
        <v>301.927717035509</v>
      </c>
    </row>
    <row r="121" customFormat="false" ht="15" hidden="false" customHeight="true" outlineLevel="0" collapsed="false">
      <c r="A121" s="1" t="n">
        <v>91</v>
      </c>
      <c r="B121" s="1" t="n">
        <f aca="false">CEILING(A121/12,1)</f>
        <v>8</v>
      </c>
      <c r="C121" s="1" t="n">
        <f aca="false">IF(A121&lt;=18, $B$15/12, 0)</f>
        <v>0</v>
      </c>
      <c r="D121" s="1" t="n">
        <f aca="false">INDEX('26. Team Comp'!$D$28:$R$28, B121) * 0.001 / 12</f>
        <v>0.636416666666667</v>
      </c>
      <c r="E121" s="1" t="n">
        <f aca="false"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>0</v>
      </c>
      <c r="F121" s="1" t="n">
        <f aca="false">IF(A121&lt;$F$6, 0, IF(AND($B$21=1, A121&gt;$B$19), 0, $E$6 * $G$6^((A121-$F$6)/12)))</f>
        <v>17.2359865697979</v>
      </c>
      <c r="G121" s="1" t="n">
        <f aca="false">IF(A121&lt;$F$7, 0, IF(AND($B$21=1, A121&gt;$B$19), 0, $E$7 * $G$7^((A121-$F$7)/12)))</f>
        <v>12.0628714290291</v>
      </c>
      <c r="H121" s="1" t="n">
        <f aca="false">IF(A121&lt;$F$8, 0, IF(AND($B$21=1, A121&gt;$B$19), 0, $E$8 * $G$8^((A121-$F$8)/12)))</f>
        <v>8.57593083208949</v>
      </c>
      <c r="I121" s="1" t="n">
        <f aca="false">IF(A121&lt;$F$9, 0, IF(AND($B$21=1, A121&gt;$B$19), 0, $E$9 * $G$9^((A121-$F$9)/12)))</f>
        <v>9.05332882010947</v>
      </c>
      <c r="J121" s="1" t="n">
        <f aca="false">IF(A121&lt;$F$10, 0, IF(AND($B$21=1, A121&gt;$B$19), 0, $E$10 * $G$10^((A121-$F$10)/12)))</f>
        <v>13.9877189553153</v>
      </c>
      <c r="K121" s="1" t="n">
        <f aca="false">IF(A121&lt;$F$11, 0, IF(AND($B$21=1, A121&gt;$B$19), 0, $E$11 * $G$11^((A121-$F$11)/12)))</f>
        <v>0</v>
      </c>
      <c r="L121" s="1" t="n">
        <f aca="false">IF(A121&lt;$F$12, 0, IF(AND($B$21=1, A121&gt;$B$19), 0, $E$12 * $G$12^((A121-$F$12)/12)))</f>
        <v>0</v>
      </c>
      <c r="M121" s="1" t="n">
        <f aca="false">IF(A121&lt;$F$13, 0, IF(AND($B$21=1, A121&gt;$B$19), 0, $E$13 * $G$13^((A121-$F$13)/12)))</f>
        <v>0</v>
      </c>
      <c r="N121" s="1" t="n">
        <f aca="false">IF(A121&lt;$F$14, 0, IF(AND($B$21=1, A121&gt;$B$19), 0, $E$14 * $G$14^((A121-$F$14)/12)))</f>
        <v>0</v>
      </c>
      <c r="O121" s="1" t="n">
        <f aca="false">SUM(F121:N121)</f>
        <v>60.9158366063413</v>
      </c>
      <c r="P121" s="1" t="n">
        <f aca="false">O121/12</f>
        <v>5.07631971719511</v>
      </c>
      <c r="Q121" s="1" t="n">
        <f aca="false">P121*$B$8</f>
        <v>0.507631971719511</v>
      </c>
      <c r="R121" s="1" t="n">
        <f aca="false">P121*$B$9</f>
        <v>0.253815985859756</v>
      </c>
      <c r="S121" s="1" t="n">
        <f aca="false">P121*$B$10</f>
        <v>0.304579183031707</v>
      </c>
      <c r="T121" s="1" t="n">
        <f aca="false">P121-Q121-R121-S121-D121-E121</f>
        <v>3.37387590991747</v>
      </c>
      <c r="U121" s="1" t="n">
        <f aca="false">MAX(0, T121 - $B$7*P121)</f>
        <v>0</v>
      </c>
      <c r="V121" s="1" t="n">
        <f aca="false">T121-U121</f>
        <v>3.37387590991747</v>
      </c>
      <c r="W121" s="1" t="n">
        <f aca="false"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>0</v>
      </c>
      <c r="X121" s="1" t="n">
        <f aca="false">V121-W121-C121</f>
        <v>3.37387590991747</v>
      </c>
      <c r="Y121" s="1" t="n">
        <f aca="false">IF(AND(A121&lt;=$F$10, X121&gt;0), X121*$B$23, 0)</f>
        <v>0</v>
      </c>
      <c r="Z121" s="1" t="n">
        <f aca="false">X121-Y121+IF(A121=$F$10+1, MAX(0, SUM(INDEX(Y:Y,31):INDEX(Y:Y,30+$F$10)) - ('1. Press Assumptions'!$D$93*'1. Press Assumptions'!$E$93 - '1. Press Assumptions'!$D$93*0.1154*0.5)), 0)</f>
        <v>3.37387590991747</v>
      </c>
      <c r="AA121" s="1" t="n">
        <f aca="false">IF(AND(A121=$B$19, $B$21=1), O121*$B$20, 0)</f>
        <v>0</v>
      </c>
      <c r="AB121" s="1" t="n">
        <f aca="false">AB120+Z121+AA121</f>
        <v>305.301592945426</v>
      </c>
    </row>
    <row r="122" customFormat="false" ht="15" hidden="false" customHeight="true" outlineLevel="0" collapsed="false">
      <c r="A122" s="1" t="n">
        <v>92</v>
      </c>
      <c r="B122" s="1" t="n">
        <f aca="false">CEILING(A122/12,1)</f>
        <v>8</v>
      </c>
      <c r="C122" s="1" t="n">
        <f aca="false">IF(A122&lt;=18, $B$15/12, 0)</f>
        <v>0</v>
      </c>
      <c r="D122" s="1" t="n">
        <f aca="false">INDEX('26. Team Comp'!$D$28:$R$28, B122) * 0.001 / 12</f>
        <v>0.636416666666667</v>
      </c>
      <c r="E122" s="1" t="n">
        <f aca="false"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>0</v>
      </c>
      <c r="F122" s="1" t="n">
        <f aca="false">IF(A122&lt;$F$6, 0, IF(AND($B$21=1, A122&gt;$B$19), 0, $E$6 * $G$6^((A122-$F$6)/12)))</f>
        <v>17.162469592632</v>
      </c>
      <c r="G122" s="1" t="n">
        <f aca="false">IF(A122&lt;$F$7, 0, IF(AND($B$21=1, A122&gt;$B$19), 0, $E$7 * $G$7^((A122-$F$7)/12)))</f>
        <v>11.9574225</v>
      </c>
      <c r="H122" s="1" t="n">
        <f aca="false">IF(A122&lt;$F$8, 0, IF(AND($B$21=1, A122&gt;$B$19), 0, $E$8 * $G$8^((A122-$F$8)/12)))</f>
        <v>8.46056786495877</v>
      </c>
      <c r="I122" s="1" t="n">
        <f aca="false">IF(A122&lt;$F$9, 0, IF(AND($B$21=1, A122&gt;$B$19), 0, $E$9 * $G$9^((A122-$F$9)/12)))</f>
        <v>8.93154392054034</v>
      </c>
      <c r="J122" s="1" t="n">
        <f aca="false">IF(A122&lt;$F$10, 0, IF(AND($B$21=1, A122&gt;$B$19), 0, $E$10 * $G$10^((A122-$F$10)/12)))</f>
        <v>13.928056875</v>
      </c>
      <c r="K122" s="1" t="n">
        <f aca="false">IF(A122&lt;$F$11, 0, IF(AND($B$21=1, A122&gt;$B$19), 0, $E$11 * $G$11^((A122-$F$11)/12)))</f>
        <v>0</v>
      </c>
      <c r="L122" s="1" t="n">
        <f aca="false">IF(A122&lt;$F$12, 0, IF(AND($B$21=1, A122&gt;$B$19), 0, $E$12 * $G$12^((A122-$F$12)/12)))</f>
        <v>0</v>
      </c>
      <c r="M122" s="1" t="n">
        <f aca="false">IF(A122&lt;$F$13, 0, IF(AND($B$21=1, A122&gt;$B$19), 0, $E$13 * $G$13^((A122-$F$13)/12)))</f>
        <v>0</v>
      </c>
      <c r="N122" s="1" t="n">
        <f aca="false">IF(A122&lt;$F$14, 0, IF(AND($B$21=1, A122&gt;$B$19), 0, $E$14 * $G$14^((A122-$F$14)/12)))</f>
        <v>0</v>
      </c>
      <c r="O122" s="1" t="n">
        <f aca="false">SUM(F122:N122)</f>
        <v>60.4400607531311</v>
      </c>
      <c r="P122" s="1" t="n">
        <f aca="false">O122/12</f>
        <v>5.03667172942759</v>
      </c>
      <c r="Q122" s="1" t="n">
        <f aca="false">P122*$B$8</f>
        <v>0.503667172942759</v>
      </c>
      <c r="R122" s="1" t="n">
        <f aca="false">P122*$B$9</f>
        <v>0.25183358647138</v>
      </c>
      <c r="S122" s="1" t="n">
        <f aca="false">P122*$B$10</f>
        <v>0.302200303765655</v>
      </c>
      <c r="T122" s="1" t="n">
        <f aca="false">P122-Q122-R122-S122-D122-E122</f>
        <v>3.34255399958113</v>
      </c>
      <c r="U122" s="1" t="n">
        <f aca="false">MAX(0, T122 - $B$7*P122)</f>
        <v>0</v>
      </c>
      <c r="V122" s="1" t="n">
        <f aca="false">T122-U122</f>
        <v>3.34255399958113</v>
      </c>
      <c r="W122" s="1" t="n">
        <f aca="false"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>0</v>
      </c>
      <c r="X122" s="1" t="n">
        <f aca="false">V122-W122-C122</f>
        <v>3.34255399958113</v>
      </c>
      <c r="Y122" s="1" t="n">
        <f aca="false">IF(AND(A122&lt;=$F$10, X122&gt;0), X122*$B$23, 0)</f>
        <v>0</v>
      </c>
      <c r="Z122" s="1" t="n">
        <f aca="false">X122-Y122+IF(A122=$F$10+1, MAX(0, SUM(INDEX(Y:Y,31):INDEX(Y:Y,30+$F$10)) - ('1. Press Assumptions'!$D$93*'1. Press Assumptions'!$E$93 - '1. Press Assumptions'!$D$93*0.1154*0.5)), 0)</f>
        <v>3.34255399958113</v>
      </c>
      <c r="AA122" s="1" t="n">
        <f aca="false">IF(AND(A122=$B$19, $B$21=1), O122*$B$20, 0)</f>
        <v>0</v>
      </c>
      <c r="AB122" s="1" t="n">
        <f aca="false">AB121+Z122+AA122</f>
        <v>308.644146945007</v>
      </c>
    </row>
    <row r="123" customFormat="false" ht="15" hidden="false" customHeight="true" outlineLevel="0" collapsed="false">
      <c r="A123" s="1" t="n">
        <v>93</v>
      </c>
      <c r="B123" s="1" t="n">
        <f aca="false">CEILING(A123/12,1)</f>
        <v>8</v>
      </c>
      <c r="C123" s="1" t="n">
        <f aca="false">IF(A123&lt;=18, $B$15/12, 0)</f>
        <v>0</v>
      </c>
      <c r="D123" s="1" t="n">
        <f aca="false">INDEX('26. Team Comp'!$D$28:$R$28, B123) * 0.001 / 12</f>
        <v>0.636416666666667</v>
      </c>
      <c r="E123" s="1" t="n">
        <f aca="false"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>0</v>
      </c>
      <c r="F123" s="1" t="n">
        <f aca="false">IF(A123&lt;$F$6, 0, IF(AND($B$21=1, A123&gt;$B$19), 0, $E$6 * $G$6^((A123-$F$6)/12)))</f>
        <v>17.0892661888092</v>
      </c>
      <c r="G123" s="1" t="n">
        <f aca="false">IF(A123&lt;$F$7, 0, IF(AND($B$21=1, A123&gt;$B$19), 0, $E$7 * $G$7^((A123-$F$7)/12)))</f>
        <v>11.8528953644841</v>
      </c>
      <c r="H123" s="1" t="n">
        <f aca="false">IF(A123&lt;$F$8, 0, IF(AND($B$21=1, A123&gt;$B$19), 0, $E$8 * $G$8^((A123-$F$8)/12)))</f>
        <v>8.34675675434902</v>
      </c>
      <c r="I123" s="1" t="n">
        <f aca="false">IF(A123&lt;$F$9, 0, IF(AND($B$21=1, A123&gt;$B$19), 0, $E$9 * $G$9^((A123-$F$9)/12)))</f>
        <v>8.81139726498705</v>
      </c>
      <c r="J123" s="1" t="n">
        <f aca="false">IF(A123&lt;$F$10, 0, IF(AND($B$21=1, A123&gt;$B$19), 0, $E$10 * $G$10^((A123-$F$10)/12)))</f>
        <v>13.8686492724761</v>
      </c>
      <c r="K123" s="1" t="n">
        <f aca="false">IF(A123&lt;$F$11, 0, IF(AND($B$21=1, A123&gt;$B$19), 0, $E$11 * $G$11^((A123-$F$11)/12)))</f>
        <v>0</v>
      </c>
      <c r="L123" s="1" t="n">
        <f aca="false">IF(A123&lt;$F$12, 0, IF(AND($B$21=1, A123&gt;$B$19), 0, $E$12 * $G$12^((A123-$F$12)/12)))</f>
        <v>0</v>
      </c>
      <c r="M123" s="1" t="n">
        <f aca="false">IF(A123&lt;$F$13, 0, IF(AND($B$21=1, A123&gt;$B$19), 0, $E$13 * $G$13^((A123-$F$13)/12)))</f>
        <v>0</v>
      </c>
      <c r="N123" s="1" t="n">
        <f aca="false">IF(A123&lt;$F$14, 0, IF(AND($B$21=1, A123&gt;$B$19), 0, $E$14 * $G$14^((A123-$F$14)/12)))</f>
        <v>0</v>
      </c>
      <c r="O123" s="1" t="n">
        <f aca="false">SUM(F123:N123)</f>
        <v>59.9689648451055</v>
      </c>
      <c r="P123" s="1" t="n">
        <f aca="false">O123/12</f>
        <v>4.99741373709212</v>
      </c>
      <c r="Q123" s="1" t="n">
        <f aca="false">P123*$B$8</f>
        <v>0.499741373709212</v>
      </c>
      <c r="R123" s="1" t="n">
        <f aca="false">P123*$B$9</f>
        <v>0.249870686854606</v>
      </c>
      <c r="S123" s="1" t="n">
        <f aca="false">P123*$B$10</f>
        <v>0.299844824225527</v>
      </c>
      <c r="T123" s="1" t="n">
        <f aca="false">P123-Q123-R123-S123-D123-E123</f>
        <v>3.31154018563611</v>
      </c>
      <c r="U123" s="1" t="n">
        <f aca="false">MAX(0, T123 - $B$7*P123)</f>
        <v>0</v>
      </c>
      <c r="V123" s="1" t="n">
        <f aca="false">T123-U123</f>
        <v>3.31154018563611</v>
      </c>
      <c r="W123" s="1" t="n">
        <f aca="false"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>0</v>
      </c>
      <c r="X123" s="1" t="n">
        <f aca="false">V123-W123-C123</f>
        <v>3.31154018563611</v>
      </c>
      <c r="Y123" s="1" t="n">
        <f aca="false">IF(AND(A123&lt;=$F$10, X123&gt;0), X123*$B$23, 0)</f>
        <v>0</v>
      </c>
      <c r="Z123" s="1" t="n">
        <f aca="false">X123-Y123+IF(A123=$F$10+1, MAX(0, SUM(INDEX(Y:Y,31):INDEX(Y:Y,30+$F$10)) - ('1. Press Assumptions'!$D$93*'1. Press Assumptions'!$E$93 - '1. Press Assumptions'!$D$93*0.1154*0.5)), 0)</f>
        <v>3.31154018563611</v>
      </c>
      <c r="AA123" s="1" t="n">
        <f aca="false">IF(AND(A123=$B$19, $B$21=1), O123*$B$20, 0)</f>
        <v>0</v>
      </c>
      <c r="AB123" s="1" t="n">
        <f aca="false">AB122+Z123+AA123</f>
        <v>311.955687130643</v>
      </c>
    </row>
    <row r="124" customFormat="false" ht="15" hidden="false" customHeight="true" outlineLevel="0" collapsed="false">
      <c r="A124" s="1" t="n">
        <v>94</v>
      </c>
      <c r="B124" s="1" t="n">
        <f aca="false">CEILING(A124/12,1)</f>
        <v>8</v>
      </c>
      <c r="C124" s="1" t="n">
        <f aca="false">IF(A124&lt;=18, $B$15/12, 0)</f>
        <v>0</v>
      </c>
      <c r="D124" s="1" t="n">
        <f aca="false">INDEX('26. Team Comp'!$D$28:$R$28, B124) * 0.001 / 12</f>
        <v>0.636416666666667</v>
      </c>
      <c r="E124" s="1" t="n">
        <f aca="false"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>0</v>
      </c>
      <c r="F124" s="1" t="n">
        <f aca="false">IF(A124&lt;$F$6, 0, IF(AND($B$21=1, A124&gt;$B$19), 0, $E$6 * $G$6^((A124-$F$6)/12)))</f>
        <v>17.0163750208394</v>
      </c>
      <c r="G124" s="1" t="n">
        <f aca="false">IF(A124&lt;$F$7, 0, IF(AND($B$21=1, A124&gt;$B$19), 0, $E$7 * $G$7^((A124-$F$7)/12)))</f>
        <v>11.749281964521</v>
      </c>
      <c r="H124" s="1" t="n">
        <f aca="false">IF(A124&lt;$F$8, 0, IF(AND($B$21=1, A124&gt;$B$19), 0, $E$8 * $G$8^((A124-$F$8)/12)))</f>
        <v>8.23447662476856</v>
      </c>
      <c r="I124" s="1" t="n">
        <f aca="false">IF(A124&lt;$F$9, 0, IF(AND($B$21=1, A124&gt;$B$19), 0, $E$9 * $G$9^((A124-$F$9)/12)))</f>
        <v>8.69286681587791</v>
      </c>
      <c r="J124" s="1" t="n">
        <f aca="false">IF(A124&lt;$F$10, 0, IF(AND($B$21=1, A124&gt;$B$19), 0, $E$10 * $G$10^((A124-$F$10)/12)))</f>
        <v>13.8094950623148</v>
      </c>
      <c r="K124" s="1" t="n">
        <f aca="false">IF(A124&lt;$F$11, 0, IF(AND($B$21=1, A124&gt;$B$19), 0, $E$11 * $G$11^((A124-$F$11)/12)))</f>
        <v>0</v>
      </c>
      <c r="L124" s="1" t="n">
        <f aca="false">IF(A124&lt;$F$12, 0, IF(AND($B$21=1, A124&gt;$B$19), 0, $E$12 * $G$12^((A124-$F$12)/12)))</f>
        <v>0</v>
      </c>
      <c r="M124" s="1" t="n">
        <f aca="false">IF(A124&lt;$F$13, 0, IF(AND($B$21=1, A124&gt;$B$19), 0, $E$13 * $G$13^((A124-$F$13)/12)))</f>
        <v>0</v>
      </c>
      <c r="N124" s="1" t="n">
        <f aca="false">IF(A124&lt;$F$14, 0, IF(AND($B$21=1, A124&gt;$B$19), 0, $E$14 * $G$14^((A124-$F$14)/12)))</f>
        <v>0</v>
      </c>
      <c r="O124" s="1" t="n">
        <f aca="false">SUM(F124:N124)</f>
        <v>59.5024954883217</v>
      </c>
      <c r="P124" s="1" t="n">
        <f aca="false">O124/12</f>
        <v>4.95854129069347</v>
      </c>
      <c r="Q124" s="1" t="n">
        <f aca="false">P124*$B$8</f>
        <v>0.495854129069347</v>
      </c>
      <c r="R124" s="1" t="n">
        <f aca="false">P124*$B$9</f>
        <v>0.247927064534674</v>
      </c>
      <c r="S124" s="1" t="n">
        <f aca="false">P124*$B$10</f>
        <v>0.297512477441608</v>
      </c>
      <c r="T124" s="1" t="n">
        <f aca="false">P124-Q124-R124-S124-D124-E124</f>
        <v>3.28083095298118</v>
      </c>
      <c r="U124" s="1" t="n">
        <f aca="false">MAX(0, T124 - $B$7*P124)</f>
        <v>0</v>
      </c>
      <c r="V124" s="1" t="n">
        <f aca="false">T124-U124</f>
        <v>3.28083095298118</v>
      </c>
      <c r="W124" s="1" t="n">
        <f aca="false"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>0</v>
      </c>
      <c r="X124" s="1" t="n">
        <f aca="false">V124-W124-C124</f>
        <v>3.28083095298118</v>
      </c>
      <c r="Y124" s="1" t="n">
        <f aca="false">IF(AND(A124&lt;=$F$10, X124&gt;0), X124*$B$23, 0)</f>
        <v>0</v>
      </c>
      <c r="Z124" s="1" t="n">
        <f aca="false">X124-Y124+IF(A124=$F$10+1, MAX(0, SUM(INDEX(Y:Y,31):INDEX(Y:Y,30+$F$10)) - ('1. Press Assumptions'!$D$93*'1. Press Assumptions'!$E$93 - '1. Press Assumptions'!$D$93*0.1154*0.5)), 0)</f>
        <v>3.28083095298118</v>
      </c>
      <c r="AA124" s="1" t="n">
        <f aca="false">IF(AND(A124=$B$19, $B$21=1), O124*$B$20, 0)</f>
        <v>0</v>
      </c>
      <c r="AB124" s="1" t="n">
        <f aca="false">AB123+Z124+AA124</f>
        <v>315.236518083625</v>
      </c>
    </row>
    <row r="125" customFormat="false" ht="15" hidden="false" customHeight="true" outlineLevel="0" collapsed="false">
      <c r="A125" s="1" t="n">
        <v>95</v>
      </c>
      <c r="B125" s="1" t="n">
        <f aca="false">CEILING(A125/12,1)</f>
        <v>8</v>
      </c>
      <c r="C125" s="1" t="n">
        <f aca="false">IF(A125&lt;=18, $B$15/12, 0)</f>
        <v>0</v>
      </c>
      <c r="D125" s="1" t="n">
        <f aca="false">INDEX('26. Team Comp'!$D$28:$R$28, B125) * 0.001 / 12</f>
        <v>0.636416666666667</v>
      </c>
      <c r="E125" s="1" t="n">
        <f aca="false"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>0</v>
      </c>
      <c r="F125" s="1" t="n">
        <f aca="false">IF(A125&lt;$F$6, 0, IF(AND($B$21=1, A125&gt;$B$19), 0, $E$6 * $G$6^((A125-$F$6)/12)))</f>
        <v>16.943794756937</v>
      </c>
      <c r="G125" s="1" t="n">
        <f aca="false">IF(A125&lt;$F$7, 0, IF(AND($B$21=1, A125&gt;$B$19), 0, $E$7 * $G$7^((A125-$F$7)/12)))</f>
        <v>11.6465743125901</v>
      </c>
      <c r="H125" s="1" t="n">
        <f aca="false">IF(A125&lt;$F$8, 0, IF(AND($B$21=1, A125&gt;$B$19), 0, $E$8 * $G$8^((A125-$F$8)/12)))</f>
        <v>8.1237068815417</v>
      </c>
      <c r="I125" s="1" t="n">
        <f aca="false">IF(A125&lt;$F$9, 0, IF(AND($B$21=1, A125&gt;$B$19), 0, $E$9 * $G$9^((A125-$F$9)/12)))</f>
        <v>8.57593083208949</v>
      </c>
      <c r="J125" s="1" t="n">
        <f aca="false">IF(A125&lt;$F$10, 0, IF(AND($B$21=1, A125&gt;$B$19), 0, $E$10 * $G$10^((A125-$F$10)/12)))</f>
        <v>13.7505931637169</v>
      </c>
      <c r="K125" s="1" t="n">
        <f aca="false">IF(A125&lt;$F$11, 0, IF(AND($B$21=1, A125&gt;$B$19), 0, $E$11 * $G$11^((A125-$F$11)/12)))</f>
        <v>0</v>
      </c>
      <c r="L125" s="1" t="n">
        <f aca="false">IF(A125&lt;$F$12, 0, IF(AND($B$21=1, A125&gt;$B$19), 0, $E$12 * $G$12^((A125-$F$12)/12)))</f>
        <v>0</v>
      </c>
      <c r="M125" s="1" t="n">
        <f aca="false">IF(A125&lt;$F$13, 0, IF(AND($B$21=1, A125&gt;$B$19), 0, $E$13 * $G$13^((A125-$F$13)/12)))</f>
        <v>0</v>
      </c>
      <c r="N125" s="1" t="n">
        <f aca="false">IF(A125&lt;$F$14, 0, IF(AND($B$21=1, A125&gt;$B$19), 0, $E$14 * $G$14^((A125-$F$14)/12)))</f>
        <v>0</v>
      </c>
      <c r="O125" s="1" t="n">
        <f aca="false">SUM(F125:N125)</f>
        <v>59.0405999468752</v>
      </c>
      <c r="P125" s="1" t="n">
        <f aca="false">O125/12</f>
        <v>4.92004999557293</v>
      </c>
      <c r="Q125" s="1" t="n">
        <f aca="false">P125*$B$8</f>
        <v>0.492004999557293</v>
      </c>
      <c r="R125" s="1" t="n">
        <f aca="false">P125*$B$9</f>
        <v>0.246002499778647</v>
      </c>
      <c r="S125" s="1" t="n">
        <f aca="false">P125*$B$10</f>
        <v>0.295202999734376</v>
      </c>
      <c r="T125" s="1" t="n">
        <f aca="false">P125-Q125-R125-S125-D125-E125</f>
        <v>3.25042282983595</v>
      </c>
      <c r="U125" s="1" t="n">
        <f aca="false">MAX(0, T125 - $B$7*P125)</f>
        <v>0</v>
      </c>
      <c r="V125" s="1" t="n">
        <f aca="false">T125-U125</f>
        <v>3.25042282983595</v>
      </c>
      <c r="W125" s="1" t="n">
        <f aca="false"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>0</v>
      </c>
      <c r="X125" s="1" t="n">
        <f aca="false">V125-W125-C125</f>
        <v>3.25042282983595</v>
      </c>
      <c r="Y125" s="1" t="n">
        <f aca="false">IF(AND(A125&lt;=$F$10, X125&gt;0), X125*$B$23, 0)</f>
        <v>0</v>
      </c>
      <c r="Z125" s="1" t="n">
        <f aca="false">X125-Y125+IF(A125=$F$10+1, MAX(0, SUM(INDEX(Y:Y,31):INDEX(Y:Y,30+$F$10)) - ('1. Press Assumptions'!$D$93*'1. Press Assumptions'!$E$93 - '1. Press Assumptions'!$D$93*0.1154*0.5)), 0)</f>
        <v>3.25042282983595</v>
      </c>
      <c r="AA125" s="1" t="n">
        <f aca="false">IF(AND(A125=$B$19, $B$21=1), O125*$B$20, 0)</f>
        <v>0</v>
      </c>
      <c r="AB125" s="1" t="n">
        <f aca="false">AB124+Z125+AA125</f>
        <v>318.486940913461</v>
      </c>
    </row>
    <row r="126" customFormat="false" ht="15" hidden="false" customHeight="true" outlineLevel="0" collapsed="false">
      <c r="A126" s="1" t="n">
        <v>96</v>
      </c>
      <c r="B126" s="1" t="n">
        <f aca="false">CEILING(A126/12,1)</f>
        <v>8</v>
      </c>
      <c r="C126" s="1" t="n">
        <f aca="false">IF(A126&lt;=18, $B$15/12, 0)</f>
        <v>0</v>
      </c>
      <c r="D126" s="1" t="n">
        <f aca="false">INDEX('26. Team Comp'!$D$28:$R$28, B126) * 0.001 / 12</f>
        <v>0.636416666666667</v>
      </c>
      <c r="E126" s="1" t="n">
        <f aca="false"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>0</v>
      </c>
      <c r="F126" s="1" t="n">
        <f aca="false">IF(A126&lt;$F$6, 0, IF(AND($B$21=1, A126&gt;$B$19), 0, $E$6 * $G$6^((A126-$F$6)/12)))</f>
        <v>16.8715240709971</v>
      </c>
      <c r="G126" s="1" t="n">
        <f aca="false">IF(A126&lt;$F$7, 0, IF(AND($B$21=1, A126&gt;$B$19), 0, $E$7 * $G$7^((A126-$F$7)/12)))</f>
        <v>11.5447644909945</v>
      </c>
      <c r="H126" s="1" t="n">
        <f aca="false">IF(A126&lt;$F$8, 0, IF(AND($B$21=1, A126&gt;$B$19), 0, $E$8 * $G$8^((A126-$F$8)/12)))</f>
        <v>8.01442720703125</v>
      </c>
      <c r="I126" s="1" t="n">
        <f aca="false">IF(A126&lt;$F$9, 0, IF(AND($B$21=1, A126&gt;$B$19), 0, $E$9 * $G$9^((A126-$F$9)/12)))</f>
        <v>8.46056786495877</v>
      </c>
      <c r="J126" s="1" t="n">
        <f aca="false">IF(A126&lt;$F$10, 0, IF(AND($B$21=1, A126&gt;$B$19), 0, $E$10 * $G$10^((A126-$F$10)/12)))</f>
        <v>13.6919425004931</v>
      </c>
      <c r="K126" s="1" t="n">
        <f aca="false">IF(A126&lt;$F$11, 0, IF(AND($B$21=1, A126&gt;$B$19), 0, $E$11 * $G$11^((A126-$F$11)/12)))</f>
        <v>0</v>
      </c>
      <c r="L126" s="1" t="n">
        <f aca="false">IF(A126&lt;$F$12, 0, IF(AND($B$21=1, A126&gt;$B$19), 0, $E$12 * $G$12^((A126-$F$12)/12)))</f>
        <v>0</v>
      </c>
      <c r="M126" s="1" t="n">
        <f aca="false">IF(A126&lt;$F$13, 0, IF(AND($B$21=1, A126&gt;$B$19), 0, $E$13 * $G$13^((A126-$F$13)/12)))</f>
        <v>0</v>
      </c>
      <c r="N126" s="1" t="n">
        <f aca="false">IF(A126&lt;$F$14, 0, IF(AND($B$21=1, A126&gt;$B$19), 0, $E$14 * $G$14^((A126-$F$14)/12)))</f>
        <v>0</v>
      </c>
      <c r="O126" s="1" t="n">
        <f aca="false">SUM(F126:N126)</f>
        <v>58.5832261344747</v>
      </c>
      <c r="P126" s="1" t="n">
        <f aca="false">O126/12</f>
        <v>4.88193551120623</v>
      </c>
      <c r="Q126" s="1" t="n">
        <f aca="false">P126*$B$8</f>
        <v>0.488193551120623</v>
      </c>
      <c r="R126" s="1" t="n">
        <f aca="false">P126*$B$9</f>
        <v>0.244096775560311</v>
      </c>
      <c r="S126" s="1" t="n">
        <f aca="false">P126*$B$10</f>
        <v>0.292916130672374</v>
      </c>
      <c r="T126" s="1" t="n">
        <f aca="false">P126-Q126-R126-S126-D126-E126</f>
        <v>3.22031238718625</v>
      </c>
      <c r="U126" s="1" t="n">
        <f aca="false">MAX(0, T126 - $B$7*P126)</f>
        <v>0</v>
      </c>
      <c r="V126" s="1" t="n">
        <f aca="false">T126-U126</f>
        <v>3.22031238718625</v>
      </c>
      <c r="W126" s="1" t="n">
        <f aca="false"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>0</v>
      </c>
      <c r="X126" s="1" t="n">
        <f aca="false">V126-W126-C126</f>
        <v>3.22031238718625</v>
      </c>
      <c r="Y126" s="1" t="n">
        <f aca="false">IF(AND(A126&lt;=$F$10, X126&gt;0), X126*$B$23, 0)</f>
        <v>0</v>
      </c>
      <c r="Z126" s="1" t="n">
        <f aca="false">X126-Y126+IF(A126=$F$10+1, MAX(0, SUM(INDEX(Y:Y,31):INDEX(Y:Y,30+$F$10)) - ('1. Press Assumptions'!$D$93*'1. Press Assumptions'!$E$93 - '1. Press Assumptions'!$D$93*0.1154*0.5)), 0)</f>
        <v>3.22031238718625</v>
      </c>
      <c r="AA126" s="1" t="n">
        <f aca="false">IF(AND(A126=$B$19, $B$21=1), O126*$B$20, 0)</f>
        <v>0</v>
      </c>
      <c r="AB126" s="1" t="n">
        <f aca="false">AB125+Z126+AA126</f>
        <v>321.707253300647</v>
      </c>
    </row>
    <row r="127" customFormat="false" ht="15" hidden="false" customHeight="true" outlineLevel="0" collapsed="false">
      <c r="A127" s="1" t="n">
        <v>97</v>
      </c>
      <c r="B127" s="1" t="n">
        <f aca="false">CEILING(A127/12,1)</f>
        <v>9</v>
      </c>
      <c r="C127" s="1" t="n">
        <f aca="false">IF(A127&lt;=18, $B$15/12, 0)</f>
        <v>0</v>
      </c>
      <c r="D127" s="1" t="n">
        <f aca="false">INDEX('26. Team Comp'!$D$28:$R$28, B127) * 0.001 / 12</f>
        <v>0.636416666666667</v>
      </c>
      <c r="E127" s="1" t="n">
        <f aca="false"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>0</v>
      </c>
      <c r="F127" s="1" t="n">
        <f aca="false">IF(A127&lt;$F$6, 0, IF(AND($B$21=1, A127&gt;$B$19), 0, $E$6 * $G$6^((A127-$F$6)/12)))</f>
        <v>16.799561642571</v>
      </c>
      <c r="G127" s="1" t="n">
        <f aca="false">IF(A127&lt;$F$7, 0, IF(AND($B$21=1, A127&gt;$B$19), 0, $E$7 * $G$7^((A127-$F$7)/12)))</f>
        <v>11.4438446512506</v>
      </c>
      <c r="H127" s="1" t="n">
        <f aca="false">IF(A127&lt;$F$8, 0, IF(AND($B$21=1, A127&gt;$B$19), 0, $E$8 * $G$8^((A127-$F$8)/12)))</f>
        <v>7.90661755691178</v>
      </c>
      <c r="I127" s="1" t="n">
        <f aca="false">IF(A127&lt;$F$9, 0, IF(AND($B$21=1, A127&gt;$B$19), 0, $E$9 * $G$9^((A127-$F$9)/12)))</f>
        <v>8.34675675434902</v>
      </c>
      <c r="J127" s="1" t="n">
        <f aca="false">IF(A127&lt;$F$10, 0, IF(AND($B$21=1, A127&gt;$B$19), 0, $E$10 * $G$10^((A127-$F$10)/12)))</f>
        <v>13.6335420010445</v>
      </c>
      <c r="K127" s="1" t="n">
        <f aca="false">IF(A127&lt;$F$11, 0, IF(AND($B$21=1, A127&gt;$B$19), 0, $E$11 * $G$11^((A127-$F$11)/12)))</f>
        <v>0</v>
      </c>
      <c r="L127" s="1" t="n">
        <f aca="false">IF(A127&lt;$F$12, 0, IF(AND($B$21=1, A127&gt;$B$19), 0, $E$12 * $G$12^((A127-$F$12)/12)))</f>
        <v>0</v>
      </c>
      <c r="M127" s="1" t="n">
        <f aca="false">IF(A127&lt;$F$13, 0, IF(AND($B$21=1, A127&gt;$B$19), 0, $E$13 * $G$13^((A127-$F$13)/12)))</f>
        <v>0</v>
      </c>
      <c r="N127" s="1" t="n">
        <f aca="false">IF(A127&lt;$F$14, 0, IF(AND($B$21=1, A127&gt;$B$19), 0, $E$14 * $G$14^((A127-$F$14)/12)))</f>
        <v>0</v>
      </c>
      <c r="O127" s="1" t="n">
        <f aca="false">SUM(F127:N127)</f>
        <v>58.1303226061269</v>
      </c>
      <c r="P127" s="1" t="n">
        <f aca="false">O127/12</f>
        <v>4.84419355051058</v>
      </c>
      <c r="Q127" s="1" t="n">
        <f aca="false">P127*$B$8</f>
        <v>0.484419355051058</v>
      </c>
      <c r="R127" s="1" t="n">
        <f aca="false">P127*$B$9</f>
        <v>0.242209677525529</v>
      </c>
      <c r="S127" s="1" t="n">
        <f aca="false">P127*$B$10</f>
        <v>0.290651613030634</v>
      </c>
      <c r="T127" s="1" t="n">
        <f aca="false">P127-Q127-R127-S127-D127-E127</f>
        <v>3.19049623823669</v>
      </c>
      <c r="U127" s="1" t="n">
        <f aca="false">MAX(0, T127 - $B$7*P127)</f>
        <v>0</v>
      </c>
      <c r="V127" s="1" t="n">
        <f aca="false">T127-U127</f>
        <v>3.19049623823669</v>
      </c>
      <c r="W127" s="1" t="n">
        <f aca="false"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>0</v>
      </c>
      <c r="X127" s="1" t="n">
        <f aca="false">V127-W127-C127</f>
        <v>3.19049623823669</v>
      </c>
      <c r="Y127" s="1" t="n">
        <f aca="false">IF(AND(A127&lt;=$F$10, X127&gt;0), X127*$B$23, 0)</f>
        <v>0</v>
      </c>
      <c r="Z127" s="1" t="n">
        <f aca="false">X127-Y127+IF(A127=$F$10+1, MAX(0, SUM(INDEX(Y:Y,31):INDEX(Y:Y,30+$F$10)) - ('1. Press Assumptions'!$D$93*'1. Press Assumptions'!$E$93 - '1. Press Assumptions'!$D$93*0.1154*0.5)), 0)</f>
        <v>3.19049623823669</v>
      </c>
      <c r="AA127" s="1" t="n">
        <f aca="false">IF(AND(A127=$B$19, $B$21=1), O127*$B$20, 0)</f>
        <v>0</v>
      </c>
      <c r="AB127" s="1" t="n">
        <f aca="false">AB126+Z127+AA127</f>
        <v>324.897749538884</v>
      </c>
    </row>
    <row r="128" customFormat="false" ht="15" hidden="false" customHeight="true" outlineLevel="0" collapsed="false">
      <c r="A128" s="1" t="n">
        <v>98</v>
      </c>
      <c r="B128" s="1" t="n">
        <f aca="false">CEILING(A128/12,1)</f>
        <v>9</v>
      </c>
      <c r="C128" s="1" t="n">
        <f aca="false">IF(A128&lt;=18, $B$15/12, 0)</f>
        <v>0</v>
      </c>
      <c r="D128" s="1" t="n">
        <f aca="false">INDEX('26. Team Comp'!$D$28:$R$28, B128) * 0.001 / 12</f>
        <v>0.636416666666667</v>
      </c>
      <c r="E128" s="1" t="n">
        <f aca="false"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>0</v>
      </c>
      <c r="F128" s="1" t="n">
        <f aca="false">IF(A128&lt;$F$6, 0, IF(AND($B$21=1, A128&gt;$B$19), 0, $E$6 * $G$6^((A128-$F$6)/12)))</f>
        <v>16.7279061568421</v>
      </c>
      <c r="G128" s="1" t="n">
        <f aca="false">IF(A128&lt;$F$7, 0, IF(AND($B$21=1, A128&gt;$B$19), 0, $E$7 * $G$7^((A128-$F$7)/12)))</f>
        <v>11.3438070134834</v>
      </c>
      <c r="H128" s="1" t="n">
        <f aca="false">IF(A128&lt;$F$8, 0, IF(AND($B$21=1, A128&gt;$B$19), 0, $E$8 * $G$8^((A128-$F$8)/12)))</f>
        <v>7.80025815649309</v>
      </c>
      <c r="I128" s="1" t="n">
        <f aca="false">IF(A128&lt;$F$9, 0, IF(AND($B$21=1, A128&gt;$B$19), 0, $E$9 * $G$9^((A128-$F$9)/12)))</f>
        <v>8.23447662476856</v>
      </c>
      <c r="J128" s="1" t="n">
        <f aca="false">IF(A128&lt;$F$10, 0, IF(AND($B$21=1, A128&gt;$B$19), 0, $E$10 * $G$10^((A128-$F$10)/12)))</f>
        <v>13.5753905983428</v>
      </c>
      <c r="K128" s="1" t="n">
        <f aca="false">IF(A128&lt;$F$11, 0, IF(AND($B$21=1, A128&gt;$B$19), 0, $E$11 * $G$11^((A128-$F$11)/12)))</f>
        <v>0</v>
      </c>
      <c r="L128" s="1" t="n">
        <f aca="false">IF(A128&lt;$F$12, 0, IF(AND($B$21=1, A128&gt;$B$19), 0, $E$12 * $G$12^((A128-$F$12)/12)))</f>
        <v>0</v>
      </c>
      <c r="M128" s="1" t="n">
        <f aca="false">IF(A128&lt;$F$13, 0, IF(AND($B$21=1, A128&gt;$B$19), 0, $E$13 * $G$13^((A128-$F$13)/12)))</f>
        <v>0</v>
      </c>
      <c r="N128" s="1" t="n">
        <f aca="false">IF(A128&lt;$F$14, 0, IF(AND($B$21=1, A128&gt;$B$19), 0, $E$14 * $G$14^((A128-$F$14)/12)))</f>
        <v>0</v>
      </c>
      <c r="O128" s="1" t="n">
        <f aca="false">SUM(F128:N128)</f>
        <v>57.68183854993</v>
      </c>
      <c r="P128" s="1" t="n">
        <f aca="false">O128/12</f>
        <v>4.80681987916083</v>
      </c>
      <c r="Q128" s="1" t="n">
        <f aca="false">P128*$B$8</f>
        <v>0.480681987916083</v>
      </c>
      <c r="R128" s="1" t="n">
        <f aca="false">P128*$B$9</f>
        <v>0.240340993958041</v>
      </c>
      <c r="S128" s="1" t="n">
        <f aca="false">P128*$B$10</f>
        <v>0.28840919274965</v>
      </c>
      <c r="T128" s="1" t="n">
        <f aca="false">P128-Q128-R128-S128-D128-E128</f>
        <v>3.16097103787039</v>
      </c>
      <c r="U128" s="1" t="n">
        <f aca="false">MAX(0, T128 - $B$7*P128)</f>
        <v>0</v>
      </c>
      <c r="V128" s="1" t="n">
        <f aca="false">T128-U128</f>
        <v>3.16097103787039</v>
      </c>
      <c r="W128" s="1" t="n">
        <f aca="false"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>0</v>
      </c>
      <c r="X128" s="1" t="n">
        <f aca="false">V128-W128-C128</f>
        <v>3.16097103787039</v>
      </c>
      <c r="Y128" s="1" t="n">
        <f aca="false">IF(AND(A128&lt;=$F$10, X128&gt;0), X128*$B$23, 0)</f>
        <v>0</v>
      </c>
      <c r="Z128" s="1" t="n">
        <f aca="false">X128-Y128+IF(A128=$F$10+1, MAX(0, SUM(INDEX(Y:Y,31):INDEX(Y:Y,30+$F$10)) - ('1. Press Assumptions'!$D$93*'1. Press Assumptions'!$E$93 - '1. Press Assumptions'!$D$93*0.1154*0.5)), 0)</f>
        <v>3.16097103787039</v>
      </c>
      <c r="AA128" s="1" t="n">
        <f aca="false">IF(AND(A128=$B$19, $B$21=1), O128*$B$20, 0)</f>
        <v>0</v>
      </c>
      <c r="AB128" s="1" t="n">
        <f aca="false">AB127+Z128+AA128</f>
        <v>328.058720576754</v>
      </c>
    </row>
    <row r="129" customFormat="false" ht="15" hidden="false" customHeight="true" outlineLevel="0" collapsed="false">
      <c r="A129" s="1" t="n">
        <v>99</v>
      </c>
      <c r="B129" s="1" t="n">
        <f aca="false">CEILING(A129/12,1)</f>
        <v>9</v>
      </c>
      <c r="C129" s="1" t="n">
        <f aca="false">IF(A129&lt;=18, $B$15/12, 0)</f>
        <v>0</v>
      </c>
      <c r="D129" s="1" t="n">
        <f aca="false">INDEX('26. Team Comp'!$D$28:$R$28, B129) * 0.001 / 12</f>
        <v>0.636416666666667</v>
      </c>
      <c r="E129" s="1" t="n">
        <f aca="false"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>0</v>
      </c>
      <c r="F129" s="1" t="n">
        <f aca="false">IF(A129&lt;$F$6, 0, IF(AND($B$21=1, A129&gt;$B$19), 0, $E$6 * $G$6^((A129-$F$6)/12)))</f>
        <v>16.6565563046021</v>
      </c>
      <c r="G129" s="1" t="n">
        <f aca="false">IF(A129&lt;$F$7, 0, IF(AND($B$21=1, A129&gt;$B$19), 0, $E$7 * $G$7^((A129-$F$7)/12)))</f>
        <v>11.2446438658264</v>
      </c>
      <c r="H129" s="1" t="n">
        <f aca="false">IF(A129&lt;$F$8, 0, IF(AND($B$21=1, A129&gt;$B$19), 0, $E$8 * $G$8^((A129-$F$8)/12)))</f>
        <v>7.69532949709305</v>
      </c>
      <c r="I129" s="1" t="n">
        <f aca="false">IF(A129&lt;$F$9, 0, IF(AND($B$21=1, A129&gt;$B$19), 0, $E$9 * $G$9^((A129-$F$9)/12)))</f>
        <v>8.1237068815417</v>
      </c>
      <c r="J129" s="1" t="n">
        <f aca="false">IF(A129&lt;$F$10, 0, IF(AND($B$21=1, A129&gt;$B$19), 0, $E$10 * $G$10^((A129-$F$10)/12)))</f>
        <v>13.5174872299109</v>
      </c>
      <c r="K129" s="1" t="n">
        <f aca="false">IF(A129&lt;$F$11, 0, IF(AND($B$21=1, A129&gt;$B$19), 0, $E$11 * $G$11^((A129-$F$11)/12)))</f>
        <v>0</v>
      </c>
      <c r="L129" s="1" t="n">
        <f aca="false">IF(A129&lt;$F$12, 0, IF(AND($B$21=1, A129&gt;$B$19), 0, $E$12 * $G$12^((A129-$F$12)/12)))</f>
        <v>0</v>
      </c>
      <c r="M129" s="1" t="n">
        <f aca="false">IF(A129&lt;$F$13, 0, IF(AND($B$21=1, A129&gt;$B$19), 0, $E$13 * $G$13^((A129-$F$13)/12)))</f>
        <v>0</v>
      </c>
      <c r="N129" s="1" t="n">
        <f aca="false">IF(A129&lt;$F$14, 0, IF(AND($B$21=1, A129&gt;$B$19), 0, $E$14 * $G$14^((A129-$F$14)/12)))</f>
        <v>0</v>
      </c>
      <c r="O129" s="1" t="n">
        <f aca="false">SUM(F129:N129)</f>
        <v>57.2377237789741</v>
      </c>
      <c r="P129" s="1" t="n">
        <f aca="false">O129/12</f>
        <v>4.76981031491451</v>
      </c>
      <c r="Q129" s="1" t="n">
        <f aca="false">P129*$B$8</f>
        <v>0.476981031491451</v>
      </c>
      <c r="R129" s="1" t="n">
        <f aca="false">P129*$B$9</f>
        <v>0.238490515745726</v>
      </c>
      <c r="S129" s="1" t="n">
        <f aca="false">P129*$B$10</f>
        <v>0.286188618894871</v>
      </c>
      <c r="T129" s="1" t="n">
        <f aca="false">P129-Q129-R129-S129-D129-E129</f>
        <v>3.1317334821158</v>
      </c>
      <c r="U129" s="1" t="n">
        <f aca="false">MAX(0, T129 - $B$7*P129)</f>
        <v>0</v>
      </c>
      <c r="V129" s="1" t="n">
        <f aca="false">T129-U129</f>
        <v>3.1317334821158</v>
      </c>
      <c r="W129" s="1" t="n">
        <f aca="false"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>0</v>
      </c>
      <c r="X129" s="1" t="n">
        <f aca="false">V129-W129-C129</f>
        <v>3.1317334821158</v>
      </c>
      <c r="Y129" s="1" t="n">
        <f aca="false">IF(AND(A129&lt;=$F$10, X129&gt;0), X129*$B$23, 0)</f>
        <v>0</v>
      </c>
      <c r="Z129" s="1" t="n">
        <f aca="false">X129-Y129+IF(A129=$F$10+1, MAX(0, SUM(INDEX(Y:Y,31):INDEX(Y:Y,30+$F$10)) - ('1. Press Assumptions'!$D$93*'1. Press Assumptions'!$E$93 - '1. Press Assumptions'!$D$93*0.1154*0.5)), 0)</f>
        <v>3.1317334821158</v>
      </c>
      <c r="AA129" s="1" t="n">
        <f aca="false">IF(AND(A129=$B$19, $B$21=1), O129*$B$20, 0)</f>
        <v>0</v>
      </c>
      <c r="AB129" s="1" t="n">
        <f aca="false">AB128+Z129+AA129</f>
        <v>331.19045405887</v>
      </c>
    </row>
    <row r="130" customFormat="false" ht="15" hidden="false" customHeight="true" outlineLevel="0" collapsed="false">
      <c r="A130" s="1" t="n">
        <v>100</v>
      </c>
      <c r="B130" s="1" t="n">
        <f aca="false">CEILING(A130/12,1)</f>
        <v>9</v>
      </c>
      <c r="C130" s="1" t="n">
        <f aca="false">IF(A130&lt;=18, $B$15/12, 0)</f>
        <v>0</v>
      </c>
      <c r="D130" s="1" t="n">
        <f aca="false">INDEX('26. Team Comp'!$D$28:$R$28, B130) * 0.001 / 12</f>
        <v>0.636416666666667</v>
      </c>
      <c r="E130" s="1" t="n">
        <f aca="false"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>0</v>
      </c>
      <c r="F130" s="1" t="n">
        <f aca="false">IF(A130&lt;$F$6, 0, IF(AND($B$21=1, A130&gt;$B$19), 0, $E$6 * $G$6^((A130-$F$6)/12)))</f>
        <v>16.5855107822266</v>
      </c>
      <c r="G130" s="1" t="n">
        <f aca="false">IF(A130&lt;$F$7, 0, IF(AND($B$21=1, A130&gt;$B$19), 0, $E$7 * $G$7^((A130-$F$7)/12)))</f>
        <v>11.1463475638272</v>
      </c>
      <c r="H130" s="1" t="n">
        <f aca="false">IF(A130&lt;$F$8, 0, IF(AND($B$21=1, A130&gt;$B$19), 0, $E$8 * $G$8^((A130-$F$8)/12)))</f>
        <v>7.59181233245928</v>
      </c>
      <c r="I130" s="1" t="n">
        <f aca="false">IF(A130&lt;$F$9, 0, IF(AND($B$21=1, A130&gt;$B$19), 0, $E$9 * $G$9^((A130-$F$9)/12)))</f>
        <v>8.01442720703125</v>
      </c>
      <c r="J130" s="1" t="n">
        <f aca="false">IF(A130&lt;$F$10, 0, IF(AND($B$21=1, A130&gt;$B$19), 0, $E$10 * $G$10^((A130-$F$10)/12)))</f>
        <v>13.4598308378037</v>
      </c>
      <c r="K130" s="1" t="n">
        <f aca="false">IF(A130&lt;$F$11, 0, IF(AND($B$21=1, A130&gt;$B$19), 0, $E$11 * $G$11^((A130-$F$11)/12)))</f>
        <v>0</v>
      </c>
      <c r="L130" s="1" t="n">
        <f aca="false">IF(A130&lt;$F$12, 0, IF(AND($B$21=1, A130&gt;$B$19), 0, $E$12 * $G$12^((A130-$F$12)/12)))</f>
        <v>0</v>
      </c>
      <c r="M130" s="1" t="n">
        <f aca="false">IF(A130&lt;$F$13, 0, IF(AND($B$21=1, A130&gt;$B$19), 0, $E$13 * $G$13^((A130-$F$13)/12)))</f>
        <v>0</v>
      </c>
      <c r="N130" s="1" t="n">
        <f aca="false">IF(A130&lt;$F$14, 0, IF(AND($B$21=1, A130&gt;$B$19), 0, $E$14 * $G$14^((A130-$F$14)/12)))</f>
        <v>0</v>
      </c>
      <c r="O130" s="1" t="n">
        <f aca="false">SUM(F130:N130)</f>
        <v>56.7979287233481</v>
      </c>
      <c r="P130" s="1" t="n">
        <f aca="false">O130/12</f>
        <v>4.73316072694567</v>
      </c>
      <c r="Q130" s="1" t="n">
        <f aca="false">P130*$B$8</f>
        <v>0.473316072694567</v>
      </c>
      <c r="R130" s="1" t="n">
        <f aca="false">P130*$B$9</f>
        <v>0.236658036347284</v>
      </c>
      <c r="S130" s="1" t="n">
        <f aca="false">P130*$B$10</f>
        <v>0.28398964361674</v>
      </c>
      <c r="T130" s="1" t="n">
        <f aca="false">P130-Q130-R130-S130-D130-E130</f>
        <v>3.10278030762041</v>
      </c>
      <c r="U130" s="1" t="n">
        <f aca="false">MAX(0, T130 - $B$7*P130)</f>
        <v>0</v>
      </c>
      <c r="V130" s="1" t="n">
        <f aca="false">T130-U130</f>
        <v>3.10278030762041</v>
      </c>
      <c r="W130" s="1" t="n">
        <f aca="false"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>0</v>
      </c>
      <c r="X130" s="1" t="n">
        <f aca="false">V130-W130-C130</f>
        <v>3.10278030762041</v>
      </c>
      <c r="Y130" s="1" t="n">
        <f aca="false">IF(AND(A130&lt;=$F$10, X130&gt;0), X130*$B$23, 0)</f>
        <v>0</v>
      </c>
      <c r="Z130" s="1" t="n">
        <f aca="false">X130-Y130+IF(A130=$F$10+1, MAX(0, SUM(INDEX(Y:Y,31):INDEX(Y:Y,30+$F$10)) - ('1. Press Assumptions'!$D$93*'1. Press Assumptions'!$E$93 - '1. Press Assumptions'!$D$93*0.1154*0.5)), 0)</f>
        <v>3.10278030762041</v>
      </c>
      <c r="AA130" s="1" t="n">
        <f aca="false">IF(AND(A130=$B$19, $B$21=1), O130*$B$20, 0)</f>
        <v>0</v>
      </c>
      <c r="AB130" s="1" t="n">
        <f aca="false">AB129+Z130+AA130</f>
        <v>334.29323436649</v>
      </c>
    </row>
    <row r="131" customFormat="false" ht="15" hidden="false" customHeight="true" outlineLevel="0" collapsed="false">
      <c r="A131" s="1" t="n">
        <v>101</v>
      </c>
      <c r="B131" s="1" t="n">
        <f aca="false">CEILING(A131/12,1)</f>
        <v>9</v>
      </c>
      <c r="C131" s="1" t="n">
        <f aca="false">IF(A131&lt;=18, $B$15/12, 0)</f>
        <v>0</v>
      </c>
      <c r="D131" s="1" t="n">
        <f aca="false">INDEX('26. Team Comp'!$D$28:$R$28, B131) * 0.001 / 12</f>
        <v>0.636416666666667</v>
      </c>
      <c r="E131" s="1" t="n">
        <f aca="false"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>0</v>
      </c>
      <c r="F131" s="1" t="n">
        <f aca="false">IF(A131&lt;$F$6, 0, IF(AND($B$21=1, A131&gt;$B$19), 0, $E$6 * $G$6^((A131-$F$6)/12)))</f>
        <v>16.5147682916517</v>
      </c>
      <c r="G131" s="1" t="n">
        <f aca="false">IF(A131&lt;$F$7, 0, IF(AND($B$21=1, A131&gt;$B$19), 0, $E$7 * $G$7^((A131-$F$7)/12)))</f>
        <v>11.0489105298584</v>
      </c>
      <c r="H131" s="1" t="n">
        <f aca="false">IF(A131&lt;$F$8, 0, IF(AND($B$21=1, A131&gt;$B$19), 0, $E$8 * $G$8^((A131-$F$8)/12)))</f>
        <v>7.48968767523899</v>
      </c>
      <c r="I131" s="1" t="n">
        <f aca="false">IF(A131&lt;$F$9, 0, IF(AND($B$21=1, A131&gt;$B$19), 0, $E$9 * $G$9^((A131-$F$9)/12)))</f>
        <v>7.90661755691178</v>
      </c>
      <c r="J131" s="1" t="n">
        <f aca="false">IF(A131&lt;$F$10, 0, IF(AND($B$21=1, A131&gt;$B$19), 0, $E$10 * $G$10^((A131-$F$10)/12)))</f>
        <v>13.4024203685885</v>
      </c>
      <c r="K131" s="1" t="n">
        <f aca="false">IF(A131&lt;$F$11, 0, IF(AND($B$21=1, A131&gt;$B$19), 0, $E$11 * $G$11^((A131-$F$11)/12)))</f>
        <v>0</v>
      </c>
      <c r="L131" s="1" t="n">
        <f aca="false">IF(A131&lt;$F$12, 0, IF(AND($B$21=1, A131&gt;$B$19), 0, $E$12 * $G$12^((A131-$F$12)/12)))</f>
        <v>0</v>
      </c>
      <c r="M131" s="1" t="n">
        <f aca="false">IF(A131&lt;$F$13, 0, IF(AND($B$21=1, A131&gt;$B$19), 0, $E$13 * $G$13^((A131-$F$13)/12)))</f>
        <v>0</v>
      </c>
      <c r="N131" s="1" t="n">
        <f aca="false">IF(A131&lt;$F$14, 0, IF(AND($B$21=1, A131&gt;$B$19), 0, $E$14 * $G$14^((A131-$F$14)/12)))</f>
        <v>0</v>
      </c>
      <c r="O131" s="1" t="n">
        <f aca="false">SUM(F131:N131)</f>
        <v>56.3624044222494</v>
      </c>
      <c r="P131" s="1" t="n">
        <f aca="false">O131/12</f>
        <v>4.69686703518745</v>
      </c>
      <c r="Q131" s="1" t="n">
        <f aca="false">P131*$B$8</f>
        <v>0.469686703518745</v>
      </c>
      <c r="R131" s="1" t="n">
        <f aca="false">P131*$B$9</f>
        <v>0.234843351759372</v>
      </c>
      <c r="S131" s="1" t="n">
        <f aca="false">P131*$B$10</f>
        <v>0.281812022111247</v>
      </c>
      <c r="T131" s="1" t="n">
        <f aca="false">P131-Q131-R131-S131-D131-E131</f>
        <v>3.07410829113142</v>
      </c>
      <c r="U131" s="1" t="n">
        <f aca="false">MAX(0, T131 - $B$7*P131)</f>
        <v>0</v>
      </c>
      <c r="V131" s="1" t="n">
        <f aca="false">T131-U131</f>
        <v>3.07410829113142</v>
      </c>
      <c r="W131" s="1" t="n">
        <f aca="false"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>0</v>
      </c>
      <c r="X131" s="1" t="n">
        <f aca="false">V131-W131-C131</f>
        <v>3.07410829113142</v>
      </c>
      <c r="Y131" s="1" t="n">
        <f aca="false">IF(AND(A131&lt;=$F$10, X131&gt;0), X131*$B$23, 0)</f>
        <v>0</v>
      </c>
      <c r="Z131" s="1" t="n">
        <f aca="false">X131-Y131+IF(A131=$F$10+1, MAX(0, SUM(INDEX(Y:Y,31):INDEX(Y:Y,30+$F$10)) - ('1. Press Assumptions'!$D$93*'1. Press Assumptions'!$E$93 - '1. Press Assumptions'!$D$93*0.1154*0.5)), 0)</f>
        <v>3.07410829113142</v>
      </c>
      <c r="AA131" s="1" t="n">
        <f aca="false">IF(AND(A131=$B$19, $B$21=1), O131*$B$20, 0)</f>
        <v>0</v>
      </c>
      <c r="AB131" s="1" t="n">
        <f aca="false">AB130+Z131+AA131</f>
        <v>337.367342657622</v>
      </c>
    </row>
    <row r="132" customFormat="false" ht="15" hidden="false" customHeight="true" outlineLevel="0" collapsed="false">
      <c r="A132" s="1" t="n">
        <v>102</v>
      </c>
      <c r="B132" s="1" t="n">
        <f aca="false">CEILING(A132/12,1)</f>
        <v>9</v>
      </c>
      <c r="C132" s="1" t="n">
        <f aca="false">IF(A132&lt;=18, $B$15/12, 0)</f>
        <v>0</v>
      </c>
      <c r="D132" s="1" t="n">
        <f aca="false">INDEX('26. Team Comp'!$D$28:$R$28, B132) * 0.001 / 12</f>
        <v>0.636416666666667</v>
      </c>
      <c r="E132" s="1" t="n">
        <f aca="false"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>0</v>
      </c>
      <c r="F132" s="1" t="n">
        <f aca="false">IF(A132&lt;$F$6, 0, IF(AND($B$21=1, A132&gt;$B$19), 0, $E$6 * $G$6^((A132-$F$6)/12)))</f>
        <v>16.4443275403502</v>
      </c>
      <c r="G132" s="1" t="n">
        <f aca="false">IF(A132&lt;$F$7, 0, IF(AND($B$21=1, A132&gt;$B$19), 0, $E$7 * $G$7^((A132-$F$7)/12)))</f>
        <v>10.9523252525331</v>
      </c>
      <c r="H132" s="1" t="n">
        <f aca="false">IF(A132&lt;$F$8, 0, IF(AND($B$21=1, A132&gt;$B$19), 0, $E$8 * $G$8^((A132-$F$8)/12)))</f>
        <v>7.38893679349623</v>
      </c>
      <c r="I132" s="1" t="n">
        <f aca="false">IF(A132&lt;$F$9, 0, IF(AND($B$21=1, A132&gt;$B$19), 0, $E$9 * $G$9^((A132-$F$9)/12)))</f>
        <v>7.80025815649309</v>
      </c>
      <c r="J132" s="1" t="n">
        <f aca="false">IF(A132&lt;$F$10, 0, IF(AND($B$21=1, A132&gt;$B$19), 0, $E$10 * $G$10^((A132-$F$10)/12)))</f>
        <v>13.3452547733256</v>
      </c>
      <c r="K132" s="1" t="n">
        <f aca="false">IF(A132&lt;$F$11, 0, IF(AND($B$21=1, A132&gt;$B$19), 0, $E$11 * $G$11^((A132-$F$11)/12)))</f>
        <v>0</v>
      </c>
      <c r="L132" s="1" t="n">
        <f aca="false">IF(A132&lt;$F$12, 0, IF(AND($B$21=1, A132&gt;$B$19), 0, $E$12 * $G$12^((A132-$F$12)/12)))</f>
        <v>0</v>
      </c>
      <c r="M132" s="1" t="n">
        <f aca="false">IF(A132&lt;$F$13, 0, IF(AND($B$21=1, A132&gt;$B$19), 0, $E$13 * $G$13^((A132-$F$13)/12)))</f>
        <v>0</v>
      </c>
      <c r="N132" s="1" t="n">
        <f aca="false">IF(A132&lt;$F$14, 0, IF(AND($B$21=1, A132&gt;$B$19), 0, $E$14 * $G$14^((A132-$F$14)/12)))</f>
        <v>0</v>
      </c>
      <c r="O132" s="1" t="n">
        <f aca="false">SUM(F132:N132)</f>
        <v>55.9311025161983</v>
      </c>
      <c r="P132" s="1" t="n">
        <f aca="false">O132/12</f>
        <v>4.66092520968319</v>
      </c>
      <c r="Q132" s="1" t="n">
        <f aca="false">P132*$B$8</f>
        <v>0.466092520968319</v>
      </c>
      <c r="R132" s="1" t="n">
        <f aca="false">P132*$B$9</f>
        <v>0.23304626048416</v>
      </c>
      <c r="S132" s="1" t="n">
        <f aca="false">P132*$B$10</f>
        <v>0.279655512580991</v>
      </c>
      <c r="T132" s="1" t="n">
        <f aca="false">P132-Q132-R132-S132-D132-E132</f>
        <v>3.04571424898305</v>
      </c>
      <c r="U132" s="1" t="n">
        <f aca="false">MAX(0, T132 - $B$7*P132)</f>
        <v>0</v>
      </c>
      <c r="V132" s="1" t="n">
        <f aca="false">T132-U132</f>
        <v>3.04571424898305</v>
      </c>
      <c r="W132" s="1" t="n">
        <f aca="false"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>0</v>
      </c>
      <c r="X132" s="1" t="n">
        <f aca="false">V132-W132-C132</f>
        <v>3.04571424898305</v>
      </c>
      <c r="Y132" s="1" t="n">
        <f aca="false">IF(AND(A132&lt;=$F$10, X132&gt;0), X132*$B$23, 0)</f>
        <v>0</v>
      </c>
      <c r="Z132" s="1" t="n">
        <f aca="false">X132-Y132+IF(A132=$F$10+1, MAX(0, SUM(INDEX(Y:Y,31):INDEX(Y:Y,30+$F$10)) - ('1. Press Assumptions'!$D$93*'1. Press Assumptions'!$E$93 - '1. Press Assumptions'!$D$93*0.1154*0.5)), 0)</f>
        <v>3.04571424898305</v>
      </c>
      <c r="AA132" s="1" t="n">
        <f aca="false">IF(AND(A132=$B$19, $B$21=1), O132*$B$20, 0)</f>
        <v>0</v>
      </c>
      <c r="AB132" s="1" t="n">
        <f aca="false">AB131+Z132+AA132</f>
        <v>340.413056906605</v>
      </c>
    </row>
    <row r="133" customFormat="false" ht="15" hidden="false" customHeight="true" outlineLevel="0" collapsed="false">
      <c r="A133" s="1" t="n">
        <v>103</v>
      </c>
      <c r="B133" s="1" t="n">
        <f aca="false">CEILING(A133/12,1)</f>
        <v>9</v>
      </c>
      <c r="C133" s="1" t="n">
        <f aca="false">IF(A133&lt;=18, $B$15/12, 0)</f>
        <v>0</v>
      </c>
      <c r="D133" s="1" t="n">
        <f aca="false">INDEX('26. Team Comp'!$D$28:$R$28, B133) * 0.001 / 12</f>
        <v>0.636416666666667</v>
      </c>
      <c r="E133" s="1" t="n">
        <f aca="false"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>0</v>
      </c>
      <c r="F133" s="1" t="n">
        <f aca="false">IF(A133&lt;$F$6, 0, IF(AND($B$21=1, A133&gt;$B$19), 0, $E$6 * $G$6^((A133-$F$6)/12)))</f>
        <v>16.374187241308</v>
      </c>
      <c r="G133" s="1" t="n">
        <f aca="false">IF(A133&lt;$F$7, 0, IF(AND($B$21=1, A133&gt;$B$19), 0, $E$7 * $G$7^((A133-$F$7)/12)))</f>
        <v>10.8565842861262</v>
      </c>
      <c r="H133" s="1" t="n">
        <f aca="false">IF(A133&lt;$F$8, 0, IF(AND($B$21=1, A133&gt;$B$19), 0, $E$8 * $G$8^((A133-$F$8)/12)))</f>
        <v>7.28954120727607</v>
      </c>
      <c r="I133" s="1" t="n">
        <f aca="false">IF(A133&lt;$F$9, 0, IF(AND($B$21=1, A133&gt;$B$19), 0, $E$9 * $G$9^((A133-$F$9)/12)))</f>
        <v>7.69532949709305</v>
      </c>
      <c r="J133" s="1" t="n">
        <f aca="false">IF(A133&lt;$F$10, 0, IF(AND($B$21=1, A133&gt;$B$19), 0, $E$10 * $G$10^((A133-$F$10)/12)))</f>
        <v>13.2883330075496</v>
      </c>
      <c r="K133" s="1" t="n">
        <f aca="false">IF(A133&lt;$F$11, 0, IF(AND($B$21=1, A133&gt;$B$19), 0, $E$11 * $G$11^((A133-$F$11)/12)))</f>
        <v>0</v>
      </c>
      <c r="L133" s="1" t="n">
        <f aca="false">IF(A133&lt;$F$12, 0, IF(AND($B$21=1, A133&gt;$B$19), 0, $E$12 * $G$12^((A133-$F$12)/12)))</f>
        <v>0</v>
      </c>
      <c r="M133" s="1" t="n">
        <f aca="false">IF(A133&lt;$F$13, 0, IF(AND($B$21=1, A133&gt;$B$19), 0, $E$13 * $G$13^((A133-$F$13)/12)))</f>
        <v>0</v>
      </c>
      <c r="N133" s="1" t="n">
        <f aca="false">IF(A133&lt;$F$14, 0, IF(AND($B$21=1, A133&gt;$B$19), 0, $E$14 * $G$14^((A133-$F$14)/12)))</f>
        <v>0</v>
      </c>
      <c r="O133" s="1" t="n">
        <f aca="false">SUM(F133:N133)</f>
        <v>55.5039752393529</v>
      </c>
      <c r="P133" s="1" t="n">
        <f aca="false">O133/12</f>
        <v>4.62533126994608</v>
      </c>
      <c r="Q133" s="1" t="n">
        <f aca="false">P133*$B$8</f>
        <v>0.462533126994608</v>
      </c>
      <c r="R133" s="1" t="n">
        <f aca="false">P133*$B$9</f>
        <v>0.231266563497304</v>
      </c>
      <c r="S133" s="1" t="n">
        <f aca="false">P133*$B$10</f>
        <v>0.277519876196765</v>
      </c>
      <c r="T133" s="1" t="n">
        <f aca="false">P133-Q133-R133-S133-D133-E133</f>
        <v>3.01759503659073</v>
      </c>
      <c r="U133" s="1" t="n">
        <f aca="false">MAX(0, T133 - $B$7*P133)</f>
        <v>0</v>
      </c>
      <c r="V133" s="1" t="n">
        <f aca="false">T133-U133</f>
        <v>3.01759503659073</v>
      </c>
      <c r="W133" s="1" t="n">
        <f aca="false"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>0</v>
      </c>
      <c r="X133" s="1" t="n">
        <f aca="false">V133-W133-C133</f>
        <v>3.01759503659073</v>
      </c>
      <c r="Y133" s="1" t="n">
        <f aca="false">IF(AND(A133&lt;=$F$10, X133&gt;0), X133*$B$23, 0)</f>
        <v>0</v>
      </c>
      <c r="Z133" s="1" t="n">
        <f aca="false">X133-Y133+IF(A133=$F$10+1, MAX(0, SUM(INDEX(Y:Y,31):INDEX(Y:Y,30+$F$10)) - ('1. Press Assumptions'!$D$93*'1. Press Assumptions'!$E$93 - '1. Press Assumptions'!$D$93*0.1154*0.5)), 0)</f>
        <v>3.01759503659073</v>
      </c>
      <c r="AA133" s="1" t="n">
        <f aca="false">IF(AND(A133=$B$19, $B$21=1), O133*$B$20, 0)</f>
        <v>0</v>
      </c>
      <c r="AB133" s="1" t="n">
        <f aca="false">AB132+Z133+AA133</f>
        <v>343.430651943195</v>
      </c>
    </row>
    <row r="134" customFormat="false" ht="15" hidden="false" customHeight="true" outlineLevel="0" collapsed="false">
      <c r="A134" s="1" t="n">
        <v>104</v>
      </c>
      <c r="B134" s="1" t="n">
        <f aca="false">CEILING(A134/12,1)</f>
        <v>9</v>
      </c>
      <c r="C134" s="1" t="n">
        <f aca="false">IF(A134&lt;=18, $B$15/12, 0)</f>
        <v>0</v>
      </c>
      <c r="D134" s="1" t="n">
        <f aca="false">INDEX('26. Team Comp'!$D$28:$R$28, B134) * 0.001 / 12</f>
        <v>0.636416666666667</v>
      </c>
      <c r="E134" s="1" t="n">
        <f aca="false"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>0</v>
      </c>
      <c r="F134" s="1" t="n">
        <f aca="false">IF(A134&lt;$F$6, 0, IF(AND($B$21=1, A134&gt;$B$19), 0, $E$6 * $G$6^((A134-$F$6)/12)))</f>
        <v>16.3043461130004</v>
      </c>
      <c r="G134" s="1" t="n">
        <f aca="false">IF(A134&lt;$F$7, 0, IF(AND($B$21=1, A134&gt;$B$19), 0, $E$7 * $G$7^((A134-$F$7)/12)))</f>
        <v>10.76168025</v>
      </c>
      <c r="H134" s="1" t="n">
        <f aca="false">IF(A134&lt;$F$8, 0, IF(AND($B$21=1, A134&gt;$B$19), 0, $E$8 * $G$8^((A134-$F$8)/12)))</f>
        <v>7.19148268521495</v>
      </c>
      <c r="I134" s="1" t="n">
        <f aca="false">IF(A134&lt;$F$9, 0, IF(AND($B$21=1, A134&gt;$B$19), 0, $E$9 * $G$9^((A134-$F$9)/12)))</f>
        <v>7.59181233245928</v>
      </c>
      <c r="J134" s="1" t="n">
        <f aca="false">IF(A134&lt;$F$10, 0, IF(AND($B$21=1, A134&gt;$B$19), 0, $E$10 * $G$10^((A134-$F$10)/12)))</f>
        <v>13.23165403125</v>
      </c>
      <c r="K134" s="1" t="n">
        <f aca="false">IF(A134&lt;$F$11, 0, IF(AND($B$21=1, A134&gt;$B$19), 0, $E$11 * $G$11^((A134-$F$11)/12)))</f>
        <v>0</v>
      </c>
      <c r="L134" s="1" t="n">
        <f aca="false">IF(A134&lt;$F$12, 0, IF(AND($B$21=1, A134&gt;$B$19), 0, $E$12 * $G$12^((A134-$F$12)/12)))</f>
        <v>0</v>
      </c>
      <c r="M134" s="1" t="n">
        <f aca="false">IF(A134&lt;$F$13, 0, IF(AND($B$21=1, A134&gt;$B$19), 0, $E$13 * $G$13^((A134-$F$13)/12)))</f>
        <v>0</v>
      </c>
      <c r="N134" s="1" t="n">
        <f aca="false">IF(A134&lt;$F$14, 0, IF(AND($B$21=1, A134&gt;$B$19), 0, $E$14 * $G$14^((A134-$F$14)/12)))</f>
        <v>0</v>
      </c>
      <c r="O134" s="1" t="n">
        <f aca="false">SUM(F134:N134)</f>
        <v>55.0809754119246</v>
      </c>
      <c r="P134" s="1" t="n">
        <f aca="false">O134/12</f>
        <v>4.59008128432705</v>
      </c>
      <c r="Q134" s="1" t="n">
        <f aca="false">P134*$B$8</f>
        <v>0.459008128432705</v>
      </c>
      <c r="R134" s="1" t="n">
        <f aca="false">P134*$B$9</f>
        <v>0.229504064216353</v>
      </c>
      <c r="S134" s="1" t="n">
        <f aca="false">P134*$B$10</f>
        <v>0.275404877059623</v>
      </c>
      <c r="T134" s="1" t="n">
        <f aca="false">P134-Q134-R134-S134-D134-E134</f>
        <v>2.9897475479517</v>
      </c>
      <c r="U134" s="1" t="n">
        <f aca="false">MAX(0, T134 - $B$7*P134)</f>
        <v>0</v>
      </c>
      <c r="V134" s="1" t="n">
        <f aca="false">T134-U134</f>
        <v>2.9897475479517</v>
      </c>
      <c r="W134" s="1" t="n">
        <f aca="false"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>0</v>
      </c>
      <c r="X134" s="1" t="n">
        <f aca="false">V134-W134-C134</f>
        <v>2.9897475479517</v>
      </c>
      <c r="Y134" s="1" t="n">
        <f aca="false">IF(AND(A134&lt;=$F$10, X134&gt;0), X134*$B$23, 0)</f>
        <v>0</v>
      </c>
      <c r="Z134" s="1" t="n">
        <f aca="false">X134-Y134+IF(A134=$F$10+1, MAX(0, SUM(INDEX(Y:Y,31):INDEX(Y:Y,30+$F$10)) - ('1. Press Assumptions'!$D$93*'1. Press Assumptions'!$E$93 - '1. Press Assumptions'!$D$93*0.1154*0.5)), 0)</f>
        <v>2.9897475479517</v>
      </c>
      <c r="AA134" s="1" t="n">
        <f aca="false">IF(AND(A134=$B$19, $B$21=1), O134*$B$20, 0)</f>
        <v>0</v>
      </c>
      <c r="AB134" s="1" t="n">
        <f aca="false">AB133+Z134+AA134</f>
        <v>346.420399491147</v>
      </c>
    </row>
    <row r="135" customFormat="false" ht="15" hidden="false" customHeight="true" outlineLevel="0" collapsed="false">
      <c r="A135" s="1" t="n">
        <v>105</v>
      </c>
      <c r="B135" s="1" t="n">
        <f aca="false">CEILING(A135/12,1)</f>
        <v>9</v>
      </c>
      <c r="C135" s="1" t="n">
        <f aca="false">IF(A135&lt;=18, $B$15/12, 0)</f>
        <v>0</v>
      </c>
      <c r="D135" s="1" t="n">
        <f aca="false">INDEX('26. Team Comp'!$D$28:$R$28, B135) * 0.001 / 12</f>
        <v>0.636416666666667</v>
      </c>
      <c r="E135" s="1" t="n">
        <f aca="false"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>0</v>
      </c>
      <c r="F135" s="1" t="n">
        <f aca="false">IF(A135&lt;$F$6, 0, IF(AND($B$21=1, A135&gt;$B$19), 0, $E$6 * $G$6^((A135-$F$6)/12)))</f>
        <v>16.2348028793688</v>
      </c>
      <c r="G135" s="1" t="n">
        <f aca="false">IF(A135&lt;$F$7, 0, IF(AND($B$21=1, A135&gt;$B$19), 0, $E$7 * $G$7^((A135-$F$7)/12)))</f>
        <v>10.6676058280357</v>
      </c>
      <c r="H135" s="1" t="n">
        <f aca="false">IF(A135&lt;$F$8, 0, IF(AND($B$21=1, A135&gt;$B$19), 0, $E$8 * $G$8^((A135-$F$8)/12)))</f>
        <v>7.09474324119667</v>
      </c>
      <c r="I135" s="1" t="n">
        <f aca="false">IF(A135&lt;$F$9, 0, IF(AND($B$21=1, A135&gt;$B$19), 0, $E$9 * $G$9^((A135-$F$9)/12)))</f>
        <v>7.48968767523899</v>
      </c>
      <c r="J135" s="1" t="n">
        <f aca="false">IF(A135&lt;$F$10, 0, IF(AND($B$21=1, A135&gt;$B$19), 0, $E$10 * $G$10^((A135-$F$10)/12)))</f>
        <v>13.1752168088523</v>
      </c>
      <c r="K135" s="1" t="n">
        <f aca="false">IF(A135&lt;$F$11, 0, IF(AND($B$21=1, A135&gt;$B$19), 0, $E$11 * $G$11^((A135-$F$11)/12)))</f>
        <v>0</v>
      </c>
      <c r="L135" s="1" t="n">
        <f aca="false">IF(A135&lt;$F$12, 0, IF(AND($B$21=1, A135&gt;$B$19), 0, $E$12 * $G$12^((A135-$F$12)/12)))</f>
        <v>0</v>
      </c>
      <c r="M135" s="1" t="n">
        <f aca="false">IF(A135&lt;$F$13, 0, IF(AND($B$21=1, A135&gt;$B$19), 0, $E$13 * $G$13^((A135-$F$13)/12)))</f>
        <v>0</v>
      </c>
      <c r="N135" s="1" t="n">
        <f aca="false">IF(A135&lt;$F$14, 0, IF(AND($B$21=1, A135&gt;$B$19), 0, $E$14 * $G$14^((A135-$F$14)/12)))</f>
        <v>0</v>
      </c>
      <c r="O135" s="1" t="n">
        <f aca="false">SUM(F135:N135)</f>
        <v>54.6620564326924</v>
      </c>
      <c r="P135" s="1" t="n">
        <f aca="false">O135/12</f>
        <v>4.55517136939103</v>
      </c>
      <c r="Q135" s="1" t="n">
        <f aca="false">P135*$B$8</f>
        <v>0.455517136939103</v>
      </c>
      <c r="R135" s="1" t="n">
        <f aca="false">P135*$B$9</f>
        <v>0.227758568469552</v>
      </c>
      <c r="S135" s="1" t="n">
        <f aca="false">P135*$B$10</f>
        <v>0.273310282163462</v>
      </c>
      <c r="T135" s="1" t="n">
        <f aca="false">P135-Q135-R135-S135-D135-E135</f>
        <v>2.96216871515225</v>
      </c>
      <c r="U135" s="1" t="n">
        <f aca="false">MAX(0, T135 - $B$7*P135)</f>
        <v>0</v>
      </c>
      <c r="V135" s="1" t="n">
        <f aca="false">T135-U135</f>
        <v>2.96216871515225</v>
      </c>
      <c r="W135" s="1" t="n">
        <f aca="false"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>0</v>
      </c>
      <c r="X135" s="1" t="n">
        <f aca="false">V135-W135-C135</f>
        <v>2.96216871515225</v>
      </c>
      <c r="Y135" s="1" t="n">
        <f aca="false">IF(AND(A135&lt;=$F$10, X135&gt;0), X135*$B$23, 0)</f>
        <v>0</v>
      </c>
      <c r="Z135" s="1" t="n">
        <f aca="false">X135-Y135+IF(A135=$F$10+1, MAX(0, SUM(INDEX(Y:Y,31):INDEX(Y:Y,30+$F$10)) - ('1. Press Assumptions'!$D$93*'1. Press Assumptions'!$E$93 - '1. Press Assumptions'!$D$93*0.1154*0.5)), 0)</f>
        <v>2.96216871515225</v>
      </c>
      <c r="AA135" s="1" t="n">
        <f aca="false">IF(AND(A135=$B$19, $B$21=1), O135*$B$20, 0)</f>
        <v>0</v>
      </c>
      <c r="AB135" s="1" t="n">
        <f aca="false">AB134+Z135+AA135</f>
        <v>349.382568206299</v>
      </c>
    </row>
    <row r="136" customFormat="false" ht="15" hidden="false" customHeight="true" outlineLevel="0" collapsed="false">
      <c r="A136" s="1" t="n">
        <v>106</v>
      </c>
      <c r="B136" s="1" t="n">
        <f aca="false">CEILING(A136/12,1)</f>
        <v>9</v>
      </c>
      <c r="C136" s="1" t="n">
        <f aca="false">IF(A136&lt;=18, $B$15/12, 0)</f>
        <v>0</v>
      </c>
      <c r="D136" s="1" t="n">
        <f aca="false">INDEX('26. Team Comp'!$D$28:$R$28, B136) * 0.001 / 12</f>
        <v>0.636416666666667</v>
      </c>
      <c r="E136" s="1" t="n">
        <f aca="false"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>0</v>
      </c>
      <c r="F136" s="1" t="n">
        <f aca="false">IF(A136&lt;$F$6, 0, IF(AND($B$21=1, A136&gt;$B$19), 0, $E$6 * $G$6^((A136-$F$6)/12)))</f>
        <v>16.1655562697974</v>
      </c>
      <c r="G136" s="1" t="n">
        <f aca="false">IF(A136&lt;$F$7, 0, IF(AND($B$21=1, A136&gt;$B$19), 0, $E$7 * $G$7^((A136-$F$7)/12)))</f>
        <v>10.5743537680689</v>
      </c>
      <c r="H136" s="1" t="n">
        <f aca="false">IF(A136&lt;$F$8, 0, IF(AND($B$21=1, A136&gt;$B$19), 0, $E$8 * $G$8^((A136-$F$8)/12)))</f>
        <v>6.99930513105328</v>
      </c>
      <c r="I136" s="1" t="n">
        <f aca="false">IF(A136&lt;$F$9, 0, IF(AND($B$21=1, A136&gt;$B$19), 0, $E$9 * $G$9^((A136-$F$9)/12)))</f>
        <v>7.38893679349623</v>
      </c>
      <c r="J136" s="1" t="n">
        <f aca="false">IF(A136&lt;$F$10, 0, IF(AND($B$21=1, A136&gt;$B$19), 0, $E$10 * $G$10^((A136-$F$10)/12)))</f>
        <v>13.1190203091991</v>
      </c>
      <c r="K136" s="1" t="n">
        <f aca="false">IF(A136&lt;$F$11, 0, IF(AND($B$21=1, A136&gt;$B$19), 0, $E$11 * $G$11^((A136-$F$11)/12)))</f>
        <v>0</v>
      </c>
      <c r="L136" s="1" t="n">
        <f aca="false">IF(A136&lt;$F$12, 0, IF(AND($B$21=1, A136&gt;$B$19), 0, $E$12 * $G$12^((A136-$F$12)/12)))</f>
        <v>0</v>
      </c>
      <c r="M136" s="1" t="n">
        <f aca="false">IF(A136&lt;$F$13, 0, IF(AND($B$21=1, A136&gt;$B$19), 0, $E$13 * $G$13^((A136-$F$13)/12)))</f>
        <v>0</v>
      </c>
      <c r="N136" s="1" t="n">
        <f aca="false">IF(A136&lt;$F$14, 0, IF(AND($B$21=1, A136&gt;$B$19), 0, $E$14 * $G$14^((A136-$F$14)/12)))</f>
        <v>0</v>
      </c>
      <c r="O136" s="1" t="n">
        <f aca="false">SUM(F136:N136)</f>
        <v>54.2471722716149</v>
      </c>
      <c r="P136" s="1" t="n">
        <f aca="false">O136/12</f>
        <v>4.52059768930124</v>
      </c>
      <c r="Q136" s="1" t="n">
        <f aca="false">P136*$B$8</f>
        <v>0.452059768930124</v>
      </c>
      <c r="R136" s="1" t="n">
        <f aca="false">P136*$B$9</f>
        <v>0.226029884465062</v>
      </c>
      <c r="S136" s="1" t="n">
        <f aca="false">P136*$B$10</f>
        <v>0.271235861358075</v>
      </c>
      <c r="T136" s="1" t="n">
        <f aca="false">P136-Q136-R136-S136-D136-E136</f>
        <v>2.93485550788131</v>
      </c>
      <c r="U136" s="1" t="n">
        <f aca="false">MAX(0, T136 - $B$7*P136)</f>
        <v>0</v>
      </c>
      <c r="V136" s="1" t="n">
        <f aca="false">T136-U136</f>
        <v>2.93485550788131</v>
      </c>
      <c r="W136" s="1" t="n">
        <f aca="false"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>0</v>
      </c>
      <c r="X136" s="1" t="n">
        <f aca="false">V136-W136-C136</f>
        <v>2.93485550788131</v>
      </c>
      <c r="Y136" s="1" t="n">
        <f aca="false">IF(AND(A136&lt;=$F$10, X136&gt;0), X136*$B$23, 0)</f>
        <v>0</v>
      </c>
      <c r="Z136" s="1" t="n">
        <f aca="false">X136-Y136+IF(A136=$F$10+1, MAX(0, SUM(INDEX(Y:Y,31):INDEX(Y:Y,30+$F$10)) - ('1. Press Assumptions'!$D$93*'1. Press Assumptions'!$E$93 - '1. Press Assumptions'!$D$93*0.1154*0.5)), 0)</f>
        <v>2.93485550788131</v>
      </c>
      <c r="AA136" s="1" t="n">
        <f aca="false">IF(AND(A136=$B$19, $B$21=1), O136*$B$20, 0)</f>
        <v>0</v>
      </c>
      <c r="AB136" s="1" t="n">
        <f aca="false">AB135+Z136+AA136</f>
        <v>352.317423714181</v>
      </c>
    </row>
    <row r="137" customFormat="false" ht="15" hidden="false" customHeight="true" outlineLevel="0" collapsed="false">
      <c r="A137" s="1" t="n">
        <v>107</v>
      </c>
      <c r="B137" s="1" t="n">
        <f aca="false">CEILING(A137/12,1)</f>
        <v>9</v>
      </c>
      <c r="C137" s="1" t="n">
        <f aca="false">IF(A137&lt;=18, $B$15/12, 0)</f>
        <v>0</v>
      </c>
      <c r="D137" s="1" t="n">
        <f aca="false">INDEX('26. Team Comp'!$D$28:$R$28, B137) * 0.001 / 12</f>
        <v>0.636416666666667</v>
      </c>
      <c r="E137" s="1" t="n">
        <f aca="false"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>0</v>
      </c>
      <c r="F137" s="1" t="n">
        <f aca="false">IF(A137&lt;$F$6, 0, IF(AND($B$21=1, A137&gt;$B$19), 0, $E$6 * $G$6^((A137-$F$6)/12)))</f>
        <v>16.0966050190901</v>
      </c>
      <c r="G137" s="1" t="n">
        <f aca="false">IF(A137&lt;$F$7, 0, IF(AND($B$21=1, A137&gt;$B$19), 0, $E$7 * $G$7^((A137-$F$7)/12)))</f>
        <v>10.4819168813311</v>
      </c>
      <c r="H137" s="1" t="n">
        <f aca="false">IF(A137&lt;$F$8, 0, IF(AND($B$21=1, A137&gt;$B$19), 0, $E$8 * $G$8^((A137-$F$8)/12)))</f>
        <v>6.90515084931045</v>
      </c>
      <c r="I137" s="1" t="n">
        <f aca="false">IF(A137&lt;$F$9, 0, IF(AND($B$21=1, A137&gt;$B$19), 0, $E$9 * $G$9^((A137-$F$9)/12)))</f>
        <v>7.28954120727607</v>
      </c>
      <c r="J137" s="1" t="n">
        <f aca="false">IF(A137&lt;$F$10, 0, IF(AND($B$21=1, A137&gt;$B$19), 0, $E$10 * $G$10^((A137-$F$10)/12)))</f>
        <v>13.0630635055311</v>
      </c>
      <c r="K137" s="1" t="n">
        <f aca="false">IF(A137&lt;$F$11, 0, IF(AND($B$21=1, A137&gt;$B$19), 0, $E$11 * $G$11^((A137-$F$11)/12)))</f>
        <v>0</v>
      </c>
      <c r="L137" s="1" t="n">
        <f aca="false">IF(A137&lt;$F$12, 0, IF(AND($B$21=1, A137&gt;$B$19), 0, $E$12 * $G$12^((A137-$F$12)/12)))</f>
        <v>0</v>
      </c>
      <c r="M137" s="1" t="n">
        <f aca="false">IF(A137&lt;$F$13, 0, IF(AND($B$21=1, A137&gt;$B$19), 0, $E$13 * $G$13^((A137-$F$13)/12)))</f>
        <v>0</v>
      </c>
      <c r="N137" s="1" t="n">
        <f aca="false">IF(A137&lt;$F$14, 0, IF(AND($B$21=1, A137&gt;$B$19), 0, $E$14 * $G$14^((A137-$F$14)/12)))</f>
        <v>0</v>
      </c>
      <c r="O137" s="1" t="n">
        <f aca="false">SUM(F137:N137)</f>
        <v>53.8362774625388</v>
      </c>
      <c r="P137" s="1" t="n">
        <f aca="false">O137/12</f>
        <v>4.48635645521157</v>
      </c>
      <c r="Q137" s="1" t="n">
        <f aca="false">P137*$B$8</f>
        <v>0.448635645521157</v>
      </c>
      <c r="R137" s="1" t="n">
        <f aca="false">P137*$B$9</f>
        <v>0.224317822760578</v>
      </c>
      <c r="S137" s="1" t="n">
        <f aca="false">P137*$B$10</f>
        <v>0.269181387312694</v>
      </c>
      <c r="T137" s="1" t="n">
        <f aca="false">P137-Q137-R137-S137-D137-E137</f>
        <v>2.90780493295047</v>
      </c>
      <c r="U137" s="1" t="n">
        <f aca="false">MAX(0, T137 - $B$7*P137)</f>
        <v>0</v>
      </c>
      <c r="V137" s="1" t="n">
        <f aca="false">T137-U137</f>
        <v>2.90780493295047</v>
      </c>
      <c r="W137" s="1" t="n">
        <f aca="false"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>0</v>
      </c>
      <c r="X137" s="1" t="n">
        <f aca="false">V137-W137-C137</f>
        <v>2.90780493295047</v>
      </c>
      <c r="Y137" s="1" t="n">
        <f aca="false">IF(AND(A137&lt;=$F$10, X137&gt;0), X137*$B$23, 0)</f>
        <v>0</v>
      </c>
      <c r="Z137" s="1" t="n">
        <f aca="false">X137-Y137+IF(A137=$F$10+1, MAX(0, SUM(INDEX(Y:Y,31):INDEX(Y:Y,30+$F$10)) - ('1. Press Assumptions'!$D$93*'1. Press Assumptions'!$E$93 - '1. Press Assumptions'!$D$93*0.1154*0.5)), 0)</f>
        <v>2.90780493295047</v>
      </c>
      <c r="AA137" s="1" t="n">
        <f aca="false">IF(AND(A137=$B$19, $B$21=1), O137*$B$20, 0)</f>
        <v>0</v>
      </c>
      <c r="AB137" s="1" t="n">
        <f aca="false">AB136+Z137+AA137</f>
        <v>355.225228647131</v>
      </c>
    </row>
    <row r="138" customFormat="false" ht="15" hidden="false" customHeight="true" outlineLevel="0" collapsed="false">
      <c r="A138" s="1" t="n">
        <v>108</v>
      </c>
      <c r="B138" s="1" t="n">
        <f aca="false">CEILING(A138/12,1)</f>
        <v>9</v>
      </c>
      <c r="C138" s="1" t="n">
        <f aca="false">IF(A138&lt;=18, $B$15/12, 0)</f>
        <v>0</v>
      </c>
      <c r="D138" s="1" t="n">
        <f aca="false">INDEX('26. Team Comp'!$D$28:$R$28, B138) * 0.001 / 12</f>
        <v>0.636416666666667</v>
      </c>
      <c r="E138" s="1" t="n">
        <f aca="false"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>0</v>
      </c>
      <c r="F138" s="1" t="n">
        <f aca="false">IF(A138&lt;$F$6, 0, IF(AND($B$21=1, A138&gt;$B$19), 0, $E$6 * $G$6^((A138-$F$6)/12)))</f>
        <v>16.0279478674472</v>
      </c>
      <c r="G138" s="1" t="n">
        <f aca="false">IF(A138&lt;$F$7, 0, IF(AND($B$21=1, A138&gt;$B$19), 0, $E$7 * $G$7^((A138-$F$7)/12)))</f>
        <v>10.3902880418951</v>
      </c>
      <c r="H138" s="1" t="n">
        <f aca="false">IF(A138&lt;$F$8, 0, IF(AND($B$21=1, A138&gt;$B$19), 0, $E$8 * $G$8^((A138-$F$8)/12)))</f>
        <v>6.81226312597656</v>
      </c>
      <c r="I138" s="1" t="n">
        <f aca="false">IF(A138&lt;$F$9, 0, IF(AND($B$21=1, A138&gt;$B$19), 0, $E$9 * $G$9^((A138-$F$9)/12)))</f>
        <v>7.19148268521495</v>
      </c>
      <c r="J138" s="1" t="n">
        <f aca="false">IF(A138&lt;$F$10, 0, IF(AND($B$21=1, A138&gt;$B$19), 0, $E$10 * $G$10^((A138-$F$10)/12)))</f>
        <v>13.0073453754685</v>
      </c>
      <c r="K138" s="1" t="n">
        <f aca="false">IF(A138&lt;$F$11, 0, IF(AND($B$21=1, A138&gt;$B$19), 0, $E$11 * $G$11^((A138-$F$11)/12)))</f>
        <v>0</v>
      </c>
      <c r="L138" s="1" t="n">
        <f aca="false">IF(A138&lt;$F$12, 0, IF(AND($B$21=1, A138&gt;$B$19), 0, $E$12 * $G$12^((A138-$F$12)/12)))</f>
        <v>0</v>
      </c>
      <c r="M138" s="1" t="n">
        <f aca="false">IF(A138&lt;$F$13, 0, IF(AND($B$21=1, A138&gt;$B$19), 0, $E$13 * $G$13^((A138-$F$13)/12)))</f>
        <v>0</v>
      </c>
      <c r="N138" s="1" t="n">
        <f aca="false">IF(A138&lt;$F$14, 0, IF(AND($B$21=1, A138&gt;$B$19), 0, $E$14 * $G$14^((A138-$F$14)/12)))</f>
        <v>0</v>
      </c>
      <c r="O138" s="1" t="n">
        <f aca="false">SUM(F138:N138)</f>
        <v>53.4293270960022</v>
      </c>
      <c r="P138" s="1" t="n">
        <f aca="false">O138/12</f>
        <v>4.45244392466685</v>
      </c>
      <c r="Q138" s="1" t="n">
        <f aca="false">P138*$B$8</f>
        <v>0.445244392466685</v>
      </c>
      <c r="R138" s="1" t="n">
        <f aca="false">P138*$B$9</f>
        <v>0.222622196233343</v>
      </c>
      <c r="S138" s="1" t="n">
        <f aca="false">P138*$B$10</f>
        <v>0.267146635480011</v>
      </c>
      <c r="T138" s="1" t="n">
        <f aca="false">P138-Q138-R138-S138-D138-E138</f>
        <v>2.88101403382015</v>
      </c>
      <c r="U138" s="1" t="n">
        <f aca="false">MAX(0, T138 - $B$7*P138)</f>
        <v>0</v>
      </c>
      <c r="V138" s="1" t="n">
        <f aca="false">T138-U138</f>
        <v>2.88101403382015</v>
      </c>
      <c r="W138" s="1" t="n">
        <f aca="false"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>0</v>
      </c>
      <c r="X138" s="1" t="n">
        <f aca="false">V138-W138-C138</f>
        <v>2.88101403382015</v>
      </c>
      <c r="Y138" s="1" t="n">
        <f aca="false">IF(AND(A138&lt;=$F$10, X138&gt;0), X138*$B$23, 0)</f>
        <v>0</v>
      </c>
      <c r="Z138" s="1" t="n">
        <f aca="false">X138-Y138+IF(A138=$F$10+1, MAX(0, SUM(INDEX(Y:Y,31):INDEX(Y:Y,30+$F$10)) - ('1. Press Assumptions'!$D$93*'1. Press Assumptions'!$E$93 - '1. Press Assumptions'!$D$93*0.1154*0.5)), 0)</f>
        <v>2.88101403382015</v>
      </c>
      <c r="AA138" s="1" t="n">
        <f aca="false">IF(AND(A138=$B$19, $B$21=1), O138*$B$20, 0)</f>
        <v>0</v>
      </c>
      <c r="AB138" s="1" t="n">
        <f aca="false">AB137+Z138+AA138</f>
        <v>358.106242680951</v>
      </c>
    </row>
    <row r="139" customFormat="false" ht="15" hidden="false" customHeight="true" outlineLevel="0" collapsed="false">
      <c r="A139" s="1" t="n">
        <v>109</v>
      </c>
      <c r="B139" s="1" t="n">
        <f aca="false">CEILING(A139/12,1)</f>
        <v>10</v>
      </c>
      <c r="C139" s="1" t="n">
        <f aca="false">IF(A139&lt;=18, $B$15/12, 0)</f>
        <v>0</v>
      </c>
      <c r="D139" s="1" t="n">
        <f aca="false">INDEX('26. Team Comp'!$D$28:$R$28, B139) * 0.001 / 12</f>
        <v>0.636416666666667</v>
      </c>
      <c r="E139" s="1" t="n">
        <f aca="false"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>0</v>
      </c>
      <c r="F139" s="1" t="n">
        <f aca="false">IF(A139&lt;$F$6, 0, IF(AND($B$21=1, A139&gt;$B$19), 0, $E$6 * $G$6^((A139-$F$6)/12)))</f>
        <v>15.9595835604424</v>
      </c>
      <c r="G139" s="1" t="n">
        <f aca="false">IF(A139&lt;$F$7, 0, IF(AND($B$21=1, A139&gt;$B$19), 0, $E$7 * $G$7^((A139-$F$7)/12)))</f>
        <v>10.2994601861256</v>
      </c>
      <c r="H139" s="1" t="n">
        <f aca="false">IF(A139&lt;$F$8, 0, IF(AND($B$21=1, A139&gt;$B$19), 0, $E$8 * $G$8^((A139-$F$8)/12)))</f>
        <v>6.72062492337502</v>
      </c>
      <c r="I139" s="1" t="n">
        <f aca="false">IF(A139&lt;$F$9, 0, IF(AND($B$21=1, A139&gt;$B$19), 0, $E$9 * $G$9^((A139-$F$9)/12)))</f>
        <v>7.09474324119667</v>
      </c>
      <c r="J139" s="1" t="n">
        <f aca="false">IF(A139&lt;$F$10, 0, IF(AND($B$21=1, A139&gt;$B$19), 0, $E$10 * $G$10^((A139-$F$10)/12)))</f>
        <v>12.9518649009923</v>
      </c>
      <c r="K139" s="1" t="n">
        <f aca="false">IF(A139&lt;$F$11, 0, IF(AND($B$21=1, A139&gt;$B$19), 0, $E$11 * $G$11^((A139-$F$11)/12)))</f>
        <v>0</v>
      </c>
      <c r="L139" s="1" t="n">
        <f aca="false">IF(A139&lt;$F$12, 0, IF(AND($B$21=1, A139&gt;$B$19), 0, $E$12 * $G$12^((A139-$F$12)/12)))</f>
        <v>0</v>
      </c>
      <c r="M139" s="1" t="n">
        <f aca="false">IF(A139&lt;$F$13, 0, IF(AND($B$21=1, A139&gt;$B$19), 0, $E$13 * $G$13^((A139-$F$13)/12)))</f>
        <v>0</v>
      </c>
      <c r="N139" s="1" t="n">
        <f aca="false">IF(A139&lt;$F$14, 0, IF(AND($B$21=1, A139&gt;$B$19), 0, $E$14 * $G$14^((A139-$F$14)/12)))</f>
        <v>0</v>
      </c>
      <c r="O139" s="1" t="n">
        <f aca="false">SUM(F139:N139)</f>
        <v>53.0262768121319</v>
      </c>
      <c r="P139" s="1" t="n">
        <f aca="false">O139/12</f>
        <v>4.41885640101099</v>
      </c>
      <c r="Q139" s="1" t="n">
        <f aca="false">P139*$B$8</f>
        <v>0.441885640101099</v>
      </c>
      <c r="R139" s="1" t="n">
        <f aca="false">P139*$B$9</f>
        <v>0.22094282005055</v>
      </c>
      <c r="S139" s="1" t="n">
        <f aca="false">P139*$B$10</f>
        <v>0.26513138406066</v>
      </c>
      <c r="T139" s="1" t="n">
        <f aca="false">P139-Q139-R139-S139-D139-E139</f>
        <v>2.85447989013202</v>
      </c>
      <c r="U139" s="1" t="n">
        <f aca="false">MAX(0, T139 - $B$7*P139)</f>
        <v>0</v>
      </c>
      <c r="V139" s="1" t="n">
        <f aca="false">T139-U139</f>
        <v>2.85447989013202</v>
      </c>
      <c r="W139" s="1" t="n">
        <f aca="false"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>0</v>
      </c>
      <c r="X139" s="1" t="n">
        <f aca="false">V139-W139-C139</f>
        <v>2.85447989013202</v>
      </c>
      <c r="Y139" s="1" t="n">
        <f aca="false">IF(AND(A139&lt;=$F$10, X139&gt;0), X139*$B$23, 0)</f>
        <v>0</v>
      </c>
      <c r="Z139" s="1" t="n">
        <f aca="false">X139-Y139+IF(A139=$F$10+1, MAX(0, SUM(INDEX(Y:Y,31):INDEX(Y:Y,30+$F$10)) - ('1. Press Assumptions'!$D$93*'1. Press Assumptions'!$E$93 - '1. Press Assumptions'!$D$93*0.1154*0.5)), 0)</f>
        <v>2.85447989013202</v>
      </c>
      <c r="AA139" s="1" t="n">
        <f aca="false">IF(AND(A139=$B$19, $B$21=1), O139*$B$20, 0)</f>
        <v>0</v>
      </c>
      <c r="AB139" s="1" t="n">
        <f aca="false">AB138+Z139+AA139</f>
        <v>360.960722571083</v>
      </c>
    </row>
    <row r="140" customFormat="false" ht="15" hidden="false" customHeight="true" outlineLevel="0" collapsed="false">
      <c r="A140" s="1" t="n">
        <v>110</v>
      </c>
      <c r="B140" s="1" t="n">
        <f aca="false">CEILING(A140/12,1)</f>
        <v>10</v>
      </c>
      <c r="C140" s="1" t="n">
        <f aca="false">IF(A140&lt;=18, $B$15/12, 0)</f>
        <v>0</v>
      </c>
      <c r="D140" s="1" t="n">
        <f aca="false">INDEX('26. Team Comp'!$D$28:$R$28, B140) * 0.001 / 12</f>
        <v>0.636416666666667</v>
      </c>
      <c r="E140" s="1" t="n">
        <f aca="false"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>0</v>
      </c>
      <c r="F140" s="1" t="n">
        <f aca="false">IF(A140&lt;$F$6, 0, IF(AND($B$21=1, A140&gt;$B$19), 0, $E$6 * $G$6^((A140-$F$6)/12)))</f>
        <v>15.891510849</v>
      </c>
      <c r="G140" s="1" t="n">
        <f aca="false">IF(A140&lt;$F$7, 0, IF(AND($B$21=1, A140&gt;$B$19), 0, $E$7 * $G$7^((A140-$F$7)/12)))</f>
        <v>10.2094263121351</v>
      </c>
      <c r="H140" s="1" t="n">
        <f aca="false">IF(A140&lt;$F$8, 0, IF(AND($B$21=1, A140&gt;$B$19), 0, $E$8 * $G$8^((A140-$F$8)/12)))</f>
        <v>6.63021943301913</v>
      </c>
      <c r="I140" s="1" t="n">
        <f aca="false">IF(A140&lt;$F$9, 0, IF(AND($B$21=1, A140&gt;$B$19), 0, $E$9 * $G$9^((A140-$F$9)/12)))</f>
        <v>6.99930513105328</v>
      </c>
      <c r="J140" s="1" t="n">
        <f aca="false">IF(A140&lt;$F$10, 0, IF(AND($B$21=1, A140&gt;$B$19), 0, $E$10 * $G$10^((A140-$F$10)/12)))</f>
        <v>12.8966210684256</v>
      </c>
      <c r="K140" s="1" t="n">
        <f aca="false">IF(A140&lt;$F$11, 0, IF(AND($B$21=1, A140&gt;$B$19), 0, $E$11 * $G$11^((A140-$F$11)/12)))</f>
        <v>0</v>
      </c>
      <c r="L140" s="1" t="n">
        <f aca="false">IF(A140&lt;$F$12, 0, IF(AND($B$21=1, A140&gt;$B$19), 0, $E$12 * $G$12^((A140-$F$12)/12)))</f>
        <v>0</v>
      </c>
      <c r="M140" s="1" t="n">
        <f aca="false">IF(A140&lt;$F$13, 0, IF(AND($B$21=1, A140&gt;$B$19), 0, $E$13 * $G$13^((A140-$F$13)/12)))</f>
        <v>0</v>
      </c>
      <c r="N140" s="1" t="n">
        <f aca="false">IF(A140&lt;$F$14, 0, IF(AND($B$21=1, A140&gt;$B$19), 0, $E$14 * $G$14^((A140-$F$14)/12)))</f>
        <v>0</v>
      </c>
      <c r="O140" s="1" t="n">
        <f aca="false">SUM(F140:N140)</f>
        <v>52.6270827936331</v>
      </c>
      <c r="P140" s="1" t="n">
        <f aca="false">O140/12</f>
        <v>4.38559023280276</v>
      </c>
      <c r="Q140" s="1" t="n">
        <f aca="false">P140*$B$8</f>
        <v>0.438559023280276</v>
      </c>
      <c r="R140" s="1" t="n">
        <f aca="false">P140*$B$9</f>
        <v>0.219279511640138</v>
      </c>
      <c r="S140" s="1" t="n">
        <f aca="false">P140*$B$10</f>
        <v>0.263135413968166</v>
      </c>
      <c r="T140" s="1" t="n">
        <f aca="false">P140-Q140-R140-S140-D140-E140</f>
        <v>2.82819961724751</v>
      </c>
      <c r="U140" s="1" t="n">
        <f aca="false">MAX(0, T140 - $B$7*P140)</f>
        <v>0</v>
      </c>
      <c r="V140" s="1" t="n">
        <f aca="false">T140-U140</f>
        <v>2.82819961724751</v>
      </c>
      <c r="W140" s="1" t="n">
        <f aca="false"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>0</v>
      </c>
      <c r="X140" s="1" t="n">
        <f aca="false">V140-W140-C140</f>
        <v>2.82819961724751</v>
      </c>
      <c r="Y140" s="1" t="n">
        <f aca="false">IF(AND(A140&lt;=$F$10, X140&gt;0), X140*$B$23, 0)</f>
        <v>0</v>
      </c>
      <c r="Z140" s="1" t="n">
        <f aca="false">X140-Y140+IF(A140=$F$10+1, MAX(0, SUM(INDEX(Y:Y,31):INDEX(Y:Y,30+$F$10)) - ('1. Press Assumptions'!$D$93*'1. Press Assumptions'!$E$93 - '1. Press Assumptions'!$D$93*0.1154*0.5)), 0)</f>
        <v>2.82819961724751</v>
      </c>
      <c r="AA140" s="1" t="n">
        <f aca="false">IF(AND(A140=$B$19, $B$21=1), O140*$B$20, 0)</f>
        <v>0</v>
      </c>
      <c r="AB140" s="1" t="n">
        <f aca="false">AB139+Z140+AA140</f>
        <v>363.788922188331</v>
      </c>
    </row>
    <row r="141" customFormat="false" ht="15" hidden="false" customHeight="true" outlineLevel="0" collapsed="false">
      <c r="A141" s="1" t="n">
        <v>111</v>
      </c>
      <c r="B141" s="1" t="n">
        <f aca="false">CEILING(A141/12,1)</f>
        <v>10</v>
      </c>
      <c r="C141" s="1" t="n">
        <f aca="false">IF(A141&lt;=18, $B$15/12, 0)</f>
        <v>0</v>
      </c>
      <c r="D141" s="1" t="n">
        <f aca="false">INDEX('26. Team Comp'!$D$28:$R$28, B141) * 0.001 / 12</f>
        <v>0.636416666666667</v>
      </c>
      <c r="E141" s="1" t="n">
        <f aca="false"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>0</v>
      </c>
      <c r="F141" s="1" t="n">
        <f aca="false">IF(A141&lt;$F$6, 0, IF(AND($B$21=1, A141&gt;$B$19), 0, $E$6 * $G$6^((A141-$F$6)/12)))</f>
        <v>15.823728489372</v>
      </c>
      <c r="G141" s="1" t="n">
        <f aca="false">IF(A141&lt;$F$7, 0, IF(AND($B$21=1, A141&gt;$B$19), 0, $E$7 * $G$7^((A141-$F$7)/12)))</f>
        <v>10.1201794792438</v>
      </c>
      <c r="H141" s="1" t="n">
        <f aca="false">IF(A141&lt;$F$8, 0, IF(AND($B$21=1, A141&gt;$B$19), 0, $E$8 * $G$8^((A141-$F$8)/12)))</f>
        <v>6.54103007252909</v>
      </c>
      <c r="I141" s="1" t="n">
        <f aca="false">IF(A141&lt;$F$9, 0, IF(AND($B$21=1, A141&gt;$B$19), 0, $E$9 * $G$9^((A141-$F$9)/12)))</f>
        <v>6.90515084931045</v>
      </c>
      <c r="J141" s="1" t="n">
        <f aca="false">IF(A141&lt;$F$10, 0, IF(AND($B$21=1, A141&gt;$B$19), 0, $E$10 * $G$10^((A141-$F$10)/12)))</f>
        <v>12.8416128684154</v>
      </c>
      <c r="K141" s="1" t="n">
        <f aca="false">IF(A141&lt;$F$11, 0, IF(AND($B$21=1, A141&gt;$B$19), 0, $E$11 * $G$11^((A141-$F$11)/12)))</f>
        <v>0</v>
      </c>
      <c r="L141" s="1" t="n">
        <f aca="false">IF(A141&lt;$F$12, 0, IF(AND($B$21=1, A141&gt;$B$19), 0, $E$12 * $G$12^((A141-$F$12)/12)))</f>
        <v>0</v>
      </c>
      <c r="M141" s="1" t="n">
        <f aca="false">IF(A141&lt;$F$13, 0, IF(AND($B$21=1, A141&gt;$B$19), 0, $E$13 * $G$13^((A141-$F$13)/12)))</f>
        <v>0</v>
      </c>
      <c r="N141" s="1" t="n">
        <f aca="false">IF(A141&lt;$F$14, 0, IF(AND($B$21=1, A141&gt;$B$19), 0, $E$14 * $G$14^((A141-$F$14)/12)))</f>
        <v>0</v>
      </c>
      <c r="O141" s="1" t="n">
        <f aca="false">SUM(F141:N141)</f>
        <v>52.2317017588706</v>
      </c>
      <c r="P141" s="1" t="n">
        <f aca="false">O141/12</f>
        <v>4.35264181323922</v>
      </c>
      <c r="Q141" s="1" t="n">
        <f aca="false">P141*$B$8</f>
        <v>0.435264181323922</v>
      </c>
      <c r="R141" s="1" t="n">
        <f aca="false">P141*$B$9</f>
        <v>0.217632090661961</v>
      </c>
      <c r="S141" s="1" t="n">
        <f aca="false">P141*$B$10</f>
        <v>0.261158508794353</v>
      </c>
      <c r="T141" s="1" t="n">
        <f aca="false">P141-Q141-R141-S141-D141-E141</f>
        <v>2.80217036579232</v>
      </c>
      <c r="U141" s="1" t="n">
        <f aca="false">MAX(0, T141 - $B$7*P141)</f>
        <v>0</v>
      </c>
      <c r="V141" s="1" t="n">
        <f aca="false">T141-U141</f>
        <v>2.80217036579232</v>
      </c>
      <c r="W141" s="1" t="n">
        <f aca="false"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>0</v>
      </c>
      <c r="X141" s="1" t="n">
        <f aca="false">V141-W141-C141</f>
        <v>2.80217036579232</v>
      </c>
      <c r="Y141" s="1" t="n">
        <f aca="false">IF(AND(A141&lt;=$F$10, X141&gt;0), X141*$B$23, 0)</f>
        <v>0</v>
      </c>
      <c r="Z141" s="1" t="n">
        <f aca="false">X141-Y141+IF(A141=$F$10+1, MAX(0, SUM(INDEX(Y:Y,31):INDEX(Y:Y,30+$F$10)) - ('1. Press Assumptions'!$D$93*'1. Press Assumptions'!$E$93 - '1. Press Assumptions'!$D$93*0.1154*0.5)), 0)</f>
        <v>2.80217036579232</v>
      </c>
      <c r="AA141" s="1" t="n">
        <f aca="false">IF(AND(A141=$B$19, $B$21=1), O141*$B$20, 0)</f>
        <v>0</v>
      </c>
      <c r="AB141" s="1" t="n">
        <f aca="false">AB140+Z141+AA141</f>
        <v>366.591092554123</v>
      </c>
    </row>
    <row r="142" customFormat="false" ht="15" hidden="false" customHeight="true" outlineLevel="0" collapsed="false">
      <c r="A142" s="1" t="n">
        <v>112</v>
      </c>
      <c r="B142" s="1" t="n">
        <f aca="false">CEILING(A142/12,1)</f>
        <v>10</v>
      </c>
      <c r="C142" s="1" t="n">
        <f aca="false">IF(A142&lt;=18, $B$15/12, 0)</f>
        <v>0</v>
      </c>
      <c r="D142" s="1" t="n">
        <f aca="false">INDEX('26. Team Comp'!$D$28:$R$28, B142) * 0.001 / 12</f>
        <v>0.636416666666667</v>
      </c>
      <c r="E142" s="1" t="n">
        <f aca="false"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>0</v>
      </c>
      <c r="F142" s="1" t="n">
        <f aca="false">IF(A142&lt;$F$6, 0, IF(AND($B$21=1, A142&gt;$B$19), 0, $E$6 * $G$6^((A142-$F$6)/12)))</f>
        <v>15.7562352431152</v>
      </c>
      <c r="G142" s="1" t="n">
        <f aca="false">IF(A142&lt;$F$7, 0, IF(AND($B$21=1, A142&gt;$B$19), 0, $E$7 * $G$7^((A142-$F$7)/12)))</f>
        <v>10.0317128074445</v>
      </c>
      <c r="H142" s="1" t="n">
        <f aca="false">IF(A142&lt;$F$8, 0, IF(AND($B$21=1, A142&gt;$B$19), 0, $E$8 * $G$8^((A142-$F$8)/12)))</f>
        <v>6.45304048259039</v>
      </c>
      <c r="I142" s="1" t="n">
        <f aca="false">IF(A142&lt;$F$9, 0, IF(AND($B$21=1, A142&gt;$B$19), 0, $E$9 * $G$9^((A142-$F$9)/12)))</f>
        <v>6.81226312597656</v>
      </c>
      <c r="J142" s="1" t="n">
        <f aca="false">IF(A142&lt;$F$10, 0, IF(AND($B$21=1, A142&gt;$B$19), 0, $E$10 * $G$10^((A142-$F$10)/12)))</f>
        <v>12.7868392959136</v>
      </c>
      <c r="K142" s="1" t="n">
        <f aca="false">IF(A142&lt;$F$11, 0, IF(AND($B$21=1, A142&gt;$B$19), 0, $E$11 * $G$11^((A142-$F$11)/12)))</f>
        <v>0</v>
      </c>
      <c r="L142" s="1" t="n">
        <f aca="false">IF(A142&lt;$F$12, 0, IF(AND($B$21=1, A142&gt;$B$19), 0, $E$12 * $G$12^((A142-$F$12)/12)))</f>
        <v>0</v>
      </c>
      <c r="M142" s="1" t="n">
        <f aca="false">IF(A142&lt;$F$13, 0, IF(AND($B$21=1, A142&gt;$B$19), 0, $E$13 * $G$13^((A142-$F$13)/12)))</f>
        <v>0</v>
      </c>
      <c r="N142" s="1" t="n">
        <f aca="false">IF(A142&lt;$F$14, 0, IF(AND($B$21=1, A142&gt;$B$19), 0, $E$14 * $G$14^((A142-$F$14)/12)))</f>
        <v>0</v>
      </c>
      <c r="O142" s="1" t="n">
        <f aca="false">SUM(F142:N142)</f>
        <v>51.8400909550402</v>
      </c>
      <c r="P142" s="1" t="n">
        <f aca="false">O142/12</f>
        <v>4.32000757958669</v>
      </c>
      <c r="Q142" s="1" t="n">
        <f aca="false">P142*$B$8</f>
        <v>0.432000757958669</v>
      </c>
      <c r="R142" s="1" t="n">
        <f aca="false">P142*$B$9</f>
        <v>0.216000378979334</v>
      </c>
      <c r="S142" s="1" t="n">
        <f aca="false">P142*$B$10</f>
        <v>0.259200454775201</v>
      </c>
      <c r="T142" s="1" t="n">
        <f aca="false">P142-Q142-R142-S142-D142-E142</f>
        <v>2.77638932120682</v>
      </c>
      <c r="U142" s="1" t="n">
        <f aca="false">MAX(0, T142 - $B$7*P142)</f>
        <v>0</v>
      </c>
      <c r="V142" s="1" t="n">
        <f aca="false">T142-U142</f>
        <v>2.77638932120682</v>
      </c>
      <c r="W142" s="1" t="n">
        <f aca="false"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>0</v>
      </c>
      <c r="X142" s="1" t="n">
        <f aca="false">V142-W142-C142</f>
        <v>2.77638932120682</v>
      </c>
      <c r="Y142" s="1" t="n">
        <f aca="false">IF(AND(A142&lt;=$F$10, X142&gt;0), X142*$B$23, 0)</f>
        <v>0</v>
      </c>
      <c r="Z142" s="1" t="n">
        <f aca="false">X142-Y142+IF(A142=$F$10+1, MAX(0, SUM(INDEX(Y:Y,31):INDEX(Y:Y,30+$F$10)) - ('1. Press Assumptions'!$D$93*'1. Press Assumptions'!$E$93 - '1. Press Assumptions'!$D$93*0.1154*0.5)), 0)</f>
        <v>2.77638932120682</v>
      </c>
      <c r="AA142" s="1" t="n">
        <f aca="false">IF(AND(A142=$B$19, $B$21=1), O142*$B$20, 0)</f>
        <v>0</v>
      </c>
      <c r="AB142" s="1" t="n">
        <f aca="false">AB141+Z142+AA142</f>
        <v>369.36748187533</v>
      </c>
    </row>
    <row r="143" customFormat="false" ht="15" hidden="false" customHeight="true" outlineLevel="0" collapsed="false">
      <c r="A143" s="1" t="n">
        <v>113</v>
      </c>
      <c r="B143" s="1" t="n">
        <f aca="false">CEILING(A143/12,1)</f>
        <v>10</v>
      </c>
      <c r="C143" s="1" t="n">
        <f aca="false">IF(A143&lt;=18, $B$15/12, 0)</f>
        <v>0</v>
      </c>
      <c r="D143" s="1" t="n">
        <f aca="false">INDEX('26. Team Comp'!$D$28:$R$28, B143) * 0.001 / 12</f>
        <v>0.636416666666667</v>
      </c>
      <c r="E143" s="1" t="n">
        <f aca="false"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>0</v>
      </c>
      <c r="F143" s="1" t="n">
        <f aca="false">IF(A143&lt;$F$6, 0, IF(AND($B$21=1, A143&gt;$B$19), 0, $E$6 * $G$6^((A143-$F$6)/12)))</f>
        <v>15.6890298770691</v>
      </c>
      <c r="G143" s="1" t="n">
        <f aca="false">IF(A143&lt;$F$7, 0, IF(AND($B$21=1, A143&gt;$B$19), 0, $E$7 * $G$7^((A143-$F$7)/12)))</f>
        <v>9.94401947687257</v>
      </c>
      <c r="H143" s="1" t="n">
        <f aca="false">IF(A143&lt;$F$8, 0, IF(AND($B$21=1, A143&gt;$B$19), 0, $E$8 * $G$8^((A143-$F$8)/12)))</f>
        <v>6.36623452395314</v>
      </c>
      <c r="I143" s="1" t="n">
        <f aca="false">IF(A143&lt;$F$9, 0, IF(AND($B$21=1, A143&gt;$B$19), 0, $E$9 * $G$9^((A143-$F$9)/12)))</f>
        <v>6.72062492337502</v>
      </c>
      <c r="J143" s="1" t="n">
        <f aca="false">IF(A143&lt;$F$10, 0, IF(AND($B$21=1, A143&gt;$B$19), 0, $E$10 * $G$10^((A143-$F$10)/12)))</f>
        <v>12.7322993501591</v>
      </c>
      <c r="K143" s="1" t="n">
        <f aca="false">IF(A143&lt;$F$11, 0, IF(AND($B$21=1, A143&gt;$B$19), 0, $E$11 * $G$11^((A143-$F$11)/12)))</f>
        <v>0</v>
      </c>
      <c r="L143" s="1" t="n">
        <f aca="false">IF(A143&lt;$F$12, 0, IF(AND($B$21=1, A143&gt;$B$19), 0, $E$12 * $G$12^((A143-$F$12)/12)))</f>
        <v>0</v>
      </c>
      <c r="M143" s="1" t="n">
        <f aca="false">IF(A143&lt;$F$13, 0, IF(AND($B$21=1, A143&gt;$B$19), 0, $E$13 * $G$13^((A143-$F$13)/12)))</f>
        <v>0</v>
      </c>
      <c r="N143" s="1" t="n">
        <f aca="false">IF(A143&lt;$F$14, 0, IF(AND($B$21=1, A143&gt;$B$19), 0, $E$14 * $G$14^((A143-$F$14)/12)))</f>
        <v>0</v>
      </c>
      <c r="O143" s="1" t="n">
        <f aca="false">SUM(F143:N143)</f>
        <v>51.4522081514289</v>
      </c>
      <c r="P143" s="1" t="n">
        <f aca="false">O143/12</f>
        <v>4.28768401261907</v>
      </c>
      <c r="Q143" s="1" t="n">
        <f aca="false">P143*$B$8</f>
        <v>0.428768401261907</v>
      </c>
      <c r="R143" s="1" t="n">
        <f aca="false">P143*$B$9</f>
        <v>0.214384200630954</v>
      </c>
      <c r="S143" s="1" t="n">
        <f aca="false">P143*$B$10</f>
        <v>0.257261040757144</v>
      </c>
      <c r="T143" s="1" t="n">
        <f aca="false">P143-Q143-R143-S143-D143-E143</f>
        <v>2.7508537033024</v>
      </c>
      <c r="U143" s="1" t="n">
        <f aca="false">MAX(0, T143 - $B$7*P143)</f>
        <v>0</v>
      </c>
      <c r="V143" s="1" t="n">
        <f aca="false">T143-U143</f>
        <v>2.7508537033024</v>
      </c>
      <c r="W143" s="1" t="n">
        <f aca="false"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>0</v>
      </c>
      <c r="X143" s="1" t="n">
        <f aca="false">V143-W143-C143</f>
        <v>2.7508537033024</v>
      </c>
      <c r="Y143" s="1" t="n">
        <f aca="false">IF(AND(A143&lt;=$F$10, X143&gt;0), X143*$B$23, 0)</f>
        <v>0</v>
      </c>
      <c r="Z143" s="1" t="n">
        <f aca="false">X143-Y143+IF(A143=$F$10+1, MAX(0, SUM(INDEX(Y:Y,31):INDEX(Y:Y,30+$F$10)) - ('1. Press Assumptions'!$D$93*'1. Press Assumptions'!$E$93 - '1. Press Assumptions'!$D$93*0.1154*0.5)), 0)</f>
        <v>2.7508537033024</v>
      </c>
      <c r="AA143" s="1" t="n">
        <f aca="false">IF(AND(A143=$B$19, $B$21=1), O143*$B$20, 0)</f>
        <v>0</v>
      </c>
      <c r="AB143" s="1" t="n">
        <f aca="false">AB142+Z143+AA143</f>
        <v>372.118335578632</v>
      </c>
    </row>
    <row r="144" customFormat="false" ht="15" hidden="false" customHeight="true" outlineLevel="0" collapsed="false">
      <c r="A144" s="1" t="n">
        <v>114</v>
      </c>
      <c r="B144" s="1" t="n">
        <f aca="false">CEILING(A144/12,1)</f>
        <v>10</v>
      </c>
      <c r="C144" s="1" t="n">
        <f aca="false">IF(A144&lt;=18, $B$15/12, 0)</f>
        <v>0</v>
      </c>
      <c r="D144" s="1" t="n">
        <f aca="false">INDEX('26. Team Comp'!$D$28:$R$28, B144) * 0.001 / 12</f>
        <v>0.636416666666667</v>
      </c>
      <c r="E144" s="1" t="n">
        <f aca="false"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>0</v>
      </c>
      <c r="F144" s="1" t="n">
        <f aca="false">IF(A144&lt;$F$6, 0, IF(AND($B$21=1, A144&gt;$B$19), 0, $E$6 * $G$6^((A144-$F$6)/12)))</f>
        <v>15.6221111633327</v>
      </c>
      <c r="G144" s="1" t="n">
        <f aca="false">IF(A144&lt;$F$7, 0, IF(AND($B$21=1, A144&gt;$B$19), 0, $E$7 * $G$7^((A144-$F$7)/12)))</f>
        <v>9.85709272727982</v>
      </c>
      <c r="H144" s="1" t="n">
        <f aca="false">IF(A144&lt;$F$8, 0, IF(AND($B$21=1, A144&gt;$B$19), 0, $E$8 * $G$8^((A144-$F$8)/12)))</f>
        <v>6.28059627447179</v>
      </c>
      <c r="I144" s="1" t="n">
        <f aca="false">IF(A144&lt;$F$9, 0, IF(AND($B$21=1, A144&gt;$B$19), 0, $E$9 * $G$9^((A144-$F$9)/12)))</f>
        <v>6.63021943301913</v>
      </c>
      <c r="J144" s="1" t="n">
        <f aca="false">IF(A144&lt;$F$10, 0, IF(AND($B$21=1, A144&gt;$B$19), 0, $E$10 * $G$10^((A144-$F$10)/12)))</f>
        <v>12.6779920346593</v>
      </c>
      <c r="K144" s="1" t="n">
        <f aca="false">IF(A144&lt;$F$11, 0, IF(AND($B$21=1, A144&gt;$B$19), 0, $E$11 * $G$11^((A144-$F$11)/12)))</f>
        <v>0</v>
      </c>
      <c r="L144" s="1" t="n">
        <f aca="false">IF(A144&lt;$F$12, 0, IF(AND($B$21=1, A144&gt;$B$19), 0, $E$12 * $G$12^((A144-$F$12)/12)))</f>
        <v>0</v>
      </c>
      <c r="M144" s="1" t="n">
        <f aca="false">IF(A144&lt;$F$13, 0, IF(AND($B$21=1, A144&gt;$B$19), 0, $E$13 * $G$13^((A144-$F$13)/12)))</f>
        <v>0</v>
      </c>
      <c r="N144" s="1" t="n">
        <f aca="false">IF(A144&lt;$F$14, 0, IF(AND($B$21=1, A144&gt;$B$19), 0, $E$14 * $G$14^((A144-$F$14)/12)))</f>
        <v>0</v>
      </c>
      <c r="O144" s="1" t="n">
        <f aca="false">SUM(F144:N144)</f>
        <v>51.0680116327628</v>
      </c>
      <c r="P144" s="1" t="n">
        <f aca="false">O144/12</f>
        <v>4.25566763606356</v>
      </c>
      <c r="Q144" s="1" t="n">
        <f aca="false">P144*$B$8</f>
        <v>0.425566763606357</v>
      </c>
      <c r="R144" s="1" t="n">
        <f aca="false">P144*$B$9</f>
        <v>0.212783381803178</v>
      </c>
      <c r="S144" s="1" t="n">
        <f aca="false">P144*$B$10</f>
        <v>0.255340058163814</v>
      </c>
      <c r="T144" s="1" t="n">
        <f aca="false">P144-Q144-R144-S144-D144-E144</f>
        <v>2.72556076582355</v>
      </c>
      <c r="U144" s="1" t="n">
        <f aca="false">MAX(0, T144 - $B$7*P144)</f>
        <v>0</v>
      </c>
      <c r="V144" s="1" t="n">
        <f aca="false">T144-U144</f>
        <v>2.72556076582355</v>
      </c>
      <c r="W144" s="1" t="n">
        <f aca="false"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>0</v>
      </c>
      <c r="X144" s="1" t="n">
        <f aca="false">V144-W144-C144</f>
        <v>2.72556076582355</v>
      </c>
      <c r="Y144" s="1" t="n">
        <f aca="false">IF(AND(A144&lt;=$F$10, X144&gt;0), X144*$B$23, 0)</f>
        <v>0</v>
      </c>
      <c r="Z144" s="1" t="n">
        <f aca="false">X144-Y144+IF(A144=$F$10+1, MAX(0, SUM(INDEX(Y:Y,31):INDEX(Y:Y,30+$F$10)) - ('1. Press Assumptions'!$D$93*'1. Press Assumptions'!$E$93 - '1. Press Assumptions'!$D$93*0.1154*0.5)), 0)</f>
        <v>2.72556076582355</v>
      </c>
      <c r="AA144" s="1" t="n">
        <f aca="false">IF(AND(A144=$B$19, $B$21=1), O144*$B$20, 0)</f>
        <v>0</v>
      </c>
      <c r="AB144" s="1" t="n">
        <f aca="false">AB143+Z144+AA144</f>
        <v>374.843896344456</v>
      </c>
    </row>
    <row r="145" customFormat="false" ht="15" hidden="false" customHeight="true" outlineLevel="0" collapsed="false">
      <c r="A145" s="1" t="n">
        <v>115</v>
      </c>
      <c r="B145" s="1" t="n">
        <f aca="false">CEILING(A145/12,1)</f>
        <v>10</v>
      </c>
      <c r="C145" s="1" t="n">
        <f aca="false">IF(A145&lt;=18, $B$15/12, 0)</f>
        <v>0</v>
      </c>
      <c r="D145" s="1" t="n">
        <f aca="false">INDEX('26. Team Comp'!$D$28:$R$28, B145) * 0.001 / 12</f>
        <v>0.636416666666667</v>
      </c>
      <c r="E145" s="1" t="n">
        <f aca="false"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>0</v>
      </c>
      <c r="F145" s="1" t="n">
        <f aca="false">IF(A145&lt;$F$6, 0, IF(AND($B$21=1, A145&gt;$B$19), 0, $E$6 * $G$6^((A145-$F$6)/12)))</f>
        <v>15.5554778792426</v>
      </c>
      <c r="G145" s="1" t="n">
        <f aca="false">IF(A145&lt;$F$7, 0, IF(AND($B$21=1, A145&gt;$B$19), 0, $E$7 * $G$7^((A145-$F$7)/12)))</f>
        <v>9.77092585751357</v>
      </c>
      <c r="H145" s="1" t="n">
        <f aca="false">IF(A145&lt;$F$8, 0, IF(AND($B$21=1, A145&gt;$B$19), 0, $E$8 * $G$8^((A145-$F$8)/12)))</f>
        <v>6.19611002618466</v>
      </c>
      <c r="I145" s="1" t="n">
        <f aca="false">IF(A145&lt;$F$9, 0, IF(AND($B$21=1, A145&gt;$B$19), 0, $E$9 * $G$9^((A145-$F$9)/12)))</f>
        <v>6.54103007252909</v>
      </c>
      <c r="J145" s="1" t="n">
        <f aca="false">IF(A145&lt;$F$10, 0, IF(AND($B$21=1, A145&gt;$B$19), 0, $E$10 * $G$10^((A145-$F$10)/12)))</f>
        <v>12.6239163571721</v>
      </c>
      <c r="K145" s="1" t="n">
        <f aca="false">IF(A145&lt;$F$11, 0, IF(AND($B$21=1, A145&gt;$B$19), 0, $E$11 * $G$11^((A145-$F$11)/12)))</f>
        <v>0</v>
      </c>
      <c r="L145" s="1" t="n">
        <f aca="false">IF(A145&lt;$F$12, 0, IF(AND($B$21=1, A145&gt;$B$19), 0, $E$12 * $G$12^((A145-$F$12)/12)))</f>
        <v>0</v>
      </c>
      <c r="M145" s="1" t="n">
        <f aca="false">IF(A145&lt;$F$13, 0, IF(AND($B$21=1, A145&gt;$B$19), 0, $E$13 * $G$13^((A145-$F$13)/12)))</f>
        <v>0</v>
      </c>
      <c r="N145" s="1" t="n">
        <f aca="false">IF(A145&lt;$F$14, 0, IF(AND($B$21=1, A145&gt;$B$19), 0, $E$14 * $G$14^((A145-$F$14)/12)))</f>
        <v>0</v>
      </c>
      <c r="O145" s="1" t="n">
        <f aca="false">SUM(F145:N145)</f>
        <v>50.6874601926421</v>
      </c>
      <c r="P145" s="1" t="n">
        <f aca="false">O145/12</f>
        <v>4.2239550160535</v>
      </c>
      <c r="Q145" s="1" t="n">
        <f aca="false">P145*$B$8</f>
        <v>0.42239550160535</v>
      </c>
      <c r="R145" s="1" t="n">
        <f aca="false">P145*$B$9</f>
        <v>0.211197750802675</v>
      </c>
      <c r="S145" s="1" t="n">
        <f aca="false">P145*$B$10</f>
        <v>0.25343730096321</v>
      </c>
      <c r="T145" s="1" t="n">
        <f aca="false">P145-Q145-R145-S145-D145-E145</f>
        <v>2.7005077960156</v>
      </c>
      <c r="U145" s="1" t="n">
        <f aca="false">MAX(0, T145 - $B$7*P145)</f>
        <v>0</v>
      </c>
      <c r="V145" s="1" t="n">
        <f aca="false">T145-U145</f>
        <v>2.7005077960156</v>
      </c>
      <c r="W145" s="1" t="n">
        <f aca="false"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>0</v>
      </c>
      <c r="X145" s="1" t="n">
        <f aca="false">V145-W145-C145</f>
        <v>2.7005077960156</v>
      </c>
      <c r="Y145" s="1" t="n">
        <f aca="false">IF(AND(A145&lt;=$F$10, X145&gt;0), X145*$B$23, 0)</f>
        <v>0</v>
      </c>
      <c r="Z145" s="1" t="n">
        <f aca="false">X145-Y145+IF(A145=$F$10+1, MAX(0, SUM(INDEX(Y:Y,31):INDEX(Y:Y,30+$F$10)) - ('1. Press Assumptions'!$D$93*'1. Press Assumptions'!$E$93 - '1. Press Assumptions'!$D$93*0.1154*0.5)), 0)</f>
        <v>2.7005077960156</v>
      </c>
      <c r="AA145" s="1" t="n">
        <f aca="false">IF(AND(A145=$B$19, $B$21=1), O145*$B$20, 0)</f>
        <v>0</v>
      </c>
      <c r="AB145" s="1" t="n">
        <f aca="false">AB144+Z145+AA145</f>
        <v>377.544404140472</v>
      </c>
    </row>
    <row r="146" customFormat="false" ht="15" hidden="false" customHeight="true" outlineLevel="0" collapsed="false">
      <c r="A146" s="1" t="n">
        <v>116</v>
      </c>
      <c r="B146" s="1" t="n">
        <f aca="false">CEILING(A146/12,1)</f>
        <v>10</v>
      </c>
      <c r="C146" s="1" t="n">
        <f aca="false">IF(A146&lt;=18, $B$15/12, 0)</f>
        <v>0</v>
      </c>
      <c r="D146" s="1" t="n">
        <f aca="false">INDEX('26. Team Comp'!$D$28:$R$28, B146) * 0.001 / 12</f>
        <v>0.636416666666667</v>
      </c>
      <c r="E146" s="1" t="n">
        <f aca="false"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>0</v>
      </c>
      <c r="F146" s="1" t="n">
        <f aca="false">IF(A146&lt;$F$6, 0, IF(AND($B$21=1, A146&gt;$B$19), 0, $E$6 * $G$6^((A146-$F$6)/12)))</f>
        <v>15.4891288073504</v>
      </c>
      <c r="G146" s="1" t="n">
        <f aca="false">IF(A146&lt;$F$7, 0, IF(AND($B$21=1, A146&gt;$B$19), 0, $E$7 * $G$7^((A146-$F$7)/12)))</f>
        <v>9.685512225</v>
      </c>
      <c r="H146" s="1" t="n">
        <f aca="false">IF(A146&lt;$F$8, 0, IF(AND($B$21=1, A146&gt;$B$19), 0, $E$8 * $G$8^((A146-$F$8)/12)))</f>
        <v>6.11276028243271</v>
      </c>
      <c r="I146" s="1" t="n">
        <f aca="false">IF(A146&lt;$F$9, 0, IF(AND($B$21=1, A146&gt;$B$19), 0, $E$9 * $G$9^((A146-$F$9)/12)))</f>
        <v>6.45304048259039</v>
      </c>
      <c r="J146" s="1" t="n">
        <f aca="false">IF(A146&lt;$F$10, 0, IF(AND($B$21=1, A146&gt;$B$19), 0, $E$10 * $G$10^((A146-$F$10)/12)))</f>
        <v>12.5700713296875</v>
      </c>
      <c r="K146" s="1" t="n">
        <f aca="false">IF(A146&lt;$F$11, 0, IF(AND($B$21=1, A146&gt;$B$19), 0, $E$11 * $G$11^((A146-$F$11)/12)))</f>
        <v>0</v>
      </c>
      <c r="L146" s="1" t="n">
        <f aca="false">IF(A146&lt;$F$12, 0, IF(AND($B$21=1, A146&gt;$B$19), 0, $E$12 * $G$12^((A146-$F$12)/12)))</f>
        <v>0</v>
      </c>
      <c r="M146" s="1" t="n">
        <f aca="false">IF(A146&lt;$F$13, 0, IF(AND($B$21=1, A146&gt;$B$19), 0, $E$13 * $G$13^((A146-$F$13)/12)))</f>
        <v>0</v>
      </c>
      <c r="N146" s="1" t="n">
        <f aca="false">IF(A146&lt;$F$14, 0, IF(AND($B$21=1, A146&gt;$B$19), 0, $E$14 * $G$14^((A146-$F$14)/12)))</f>
        <v>0</v>
      </c>
      <c r="O146" s="1" t="n">
        <f aca="false">SUM(F146:N146)</f>
        <v>50.310513127061</v>
      </c>
      <c r="P146" s="1" t="n">
        <f aca="false">O146/12</f>
        <v>4.19254276058841</v>
      </c>
      <c r="Q146" s="1" t="n">
        <f aca="false">P146*$B$8</f>
        <v>0.419254276058841</v>
      </c>
      <c r="R146" s="1" t="n">
        <f aca="false">P146*$B$9</f>
        <v>0.209627138029421</v>
      </c>
      <c r="S146" s="1" t="n">
        <f aca="false">P146*$B$10</f>
        <v>0.251552565635305</v>
      </c>
      <c r="T146" s="1" t="n">
        <f aca="false">P146-Q146-R146-S146-D146-E146</f>
        <v>2.67569211419818</v>
      </c>
      <c r="U146" s="1" t="n">
        <f aca="false">MAX(0, T146 - $B$7*P146)</f>
        <v>0</v>
      </c>
      <c r="V146" s="1" t="n">
        <f aca="false">T146-U146</f>
        <v>2.67569211419818</v>
      </c>
      <c r="W146" s="1" t="n">
        <f aca="false"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>0</v>
      </c>
      <c r="X146" s="1" t="n">
        <f aca="false">V146-W146-C146</f>
        <v>2.67569211419818</v>
      </c>
      <c r="Y146" s="1" t="n">
        <f aca="false">IF(AND(A146&lt;=$F$10, X146&gt;0), X146*$B$23, 0)</f>
        <v>0</v>
      </c>
      <c r="Z146" s="1" t="n">
        <f aca="false">X146-Y146+IF(A146=$F$10+1, MAX(0, SUM(INDEX(Y:Y,31):INDEX(Y:Y,30+$F$10)) - ('1. Press Assumptions'!$D$93*'1. Press Assumptions'!$E$93 - '1. Press Assumptions'!$D$93*0.1154*0.5)), 0)</f>
        <v>2.67569211419818</v>
      </c>
      <c r="AA146" s="1" t="n">
        <f aca="false">IF(AND(A146=$B$19, $B$21=1), O146*$B$20, 0)</f>
        <v>0</v>
      </c>
      <c r="AB146" s="1" t="n">
        <f aca="false">AB145+Z146+AA146</f>
        <v>380.22009625467</v>
      </c>
    </row>
    <row r="147" customFormat="false" ht="15" hidden="false" customHeight="true" outlineLevel="0" collapsed="false">
      <c r="A147" s="1" t="n">
        <v>117</v>
      </c>
      <c r="B147" s="1" t="n">
        <f aca="false">CEILING(A147/12,1)</f>
        <v>10</v>
      </c>
      <c r="C147" s="1" t="n">
        <f aca="false">IF(A147&lt;=18, $B$15/12, 0)</f>
        <v>0</v>
      </c>
      <c r="D147" s="1" t="n">
        <f aca="false">INDEX('26. Team Comp'!$D$28:$R$28, B147) * 0.001 / 12</f>
        <v>0.636416666666667</v>
      </c>
      <c r="E147" s="1" t="n">
        <f aca="false"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>0</v>
      </c>
      <c r="F147" s="1" t="n">
        <f aca="false">IF(A147&lt;$F$6, 0, IF(AND($B$21=1, A147&gt;$B$19), 0, $E$6 * $G$6^((A147-$F$6)/12)))</f>
        <v>15.4230627354003</v>
      </c>
      <c r="G147" s="1" t="n">
        <f aca="false">IF(A147&lt;$F$7, 0, IF(AND($B$21=1, A147&gt;$B$19), 0, $E$7 * $G$7^((A147-$F$7)/12)))</f>
        <v>9.60084524523209</v>
      </c>
      <c r="H147" s="1" t="n">
        <f aca="false">IF(A147&lt;$F$8, 0, IF(AND($B$21=1, A147&gt;$B$19), 0, $E$8 * $G$8^((A147-$F$8)/12)))</f>
        <v>6.03053175501717</v>
      </c>
      <c r="I147" s="1" t="n">
        <f aca="false">IF(A147&lt;$F$9, 0, IF(AND($B$21=1, A147&gt;$B$19), 0, $E$9 * $G$9^((A147-$F$9)/12)))</f>
        <v>6.36623452395314</v>
      </c>
      <c r="J147" s="1" t="n">
        <f aca="false">IF(A147&lt;$F$10, 0, IF(AND($B$21=1, A147&gt;$B$19), 0, $E$10 * $G$10^((A147-$F$10)/12)))</f>
        <v>12.5164559684097</v>
      </c>
      <c r="K147" s="1" t="n">
        <f aca="false">IF(A147&lt;$F$11, 0, IF(AND($B$21=1, A147&gt;$B$19), 0, $E$11 * $G$11^((A147-$F$11)/12)))</f>
        <v>0</v>
      </c>
      <c r="L147" s="1" t="n">
        <f aca="false">IF(A147&lt;$F$12, 0, IF(AND($B$21=1, A147&gt;$B$19), 0, $E$12 * $G$12^((A147-$F$12)/12)))</f>
        <v>0</v>
      </c>
      <c r="M147" s="1" t="n">
        <f aca="false">IF(A147&lt;$F$13, 0, IF(AND($B$21=1, A147&gt;$B$19), 0, $E$13 * $G$13^((A147-$F$13)/12)))</f>
        <v>0</v>
      </c>
      <c r="N147" s="1" t="n">
        <f aca="false">IF(A147&lt;$F$14, 0, IF(AND($B$21=1, A147&gt;$B$19), 0, $E$14 * $G$14^((A147-$F$14)/12)))</f>
        <v>0</v>
      </c>
      <c r="O147" s="1" t="n">
        <f aca="false">SUM(F147:N147)</f>
        <v>49.9371302280124</v>
      </c>
      <c r="P147" s="1" t="n">
        <f aca="false">O147/12</f>
        <v>4.16142751900104</v>
      </c>
      <c r="Q147" s="1" t="n">
        <f aca="false">P147*$B$8</f>
        <v>0.416142751900104</v>
      </c>
      <c r="R147" s="1" t="n">
        <f aca="false">P147*$B$9</f>
        <v>0.208071375950052</v>
      </c>
      <c r="S147" s="1" t="n">
        <f aca="false">P147*$B$10</f>
        <v>0.249685651140062</v>
      </c>
      <c r="T147" s="1" t="n">
        <f aca="false">P147-Q147-R147-S147-D147-E147</f>
        <v>2.65111107334415</v>
      </c>
      <c r="U147" s="1" t="n">
        <f aca="false">MAX(0, T147 - $B$7*P147)</f>
        <v>0</v>
      </c>
      <c r="V147" s="1" t="n">
        <f aca="false">T147-U147</f>
        <v>2.65111107334415</v>
      </c>
      <c r="W147" s="1" t="n">
        <f aca="false"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>0</v>
      </c>
      <c r="X147" s="1" t="n">
        <f aca="false">V147-W147-C147</f>
        <v>2.65111107334415</v>
      </c>
      <c r="Y147" s="1" t="n">
        <f aca="false">IF(AND(A147&lt;=$F$10, X147&gt;0), X147*$B$23, 0)</f>
        <v>0</v>
      </c>
      <c r="Z147" s="1" t="n">
        <f aca="false">X147-Y147+IF(A147=$F$10+1, MAX(0, SUM(INDEX(Y:Y,31):INDEX(Y:Y,30+$F$10)) - ('1. Press Assumptions'!$D$93*'1. Press Assumptions'!$E$93 - '1. Press Assumptions'!$D$93*0.1154*0.5)), 0)</f>
        <v>2.65111107334415</v>
      </c>
      <c r="AA147" s="1" t="n">
        <f aca="false">IF(AND(A147=$B$19, $B$21=1), O147*$B$20, 0)</f>
        <v>0</v>
      </c>
      <c r="AB147" s="1" t="n">
        <f aca="false">AB146+Z147+AA147</f>
        <v>382.871207328014</v>
      </c>
    </row>
    <row r="148" customFormat="false" ht="15" hidden="false" customHeight="true" outlineLevel="0" collapsed="false">
      <c r="A148" s="1" t="n">
        <v>118</v>
      </c>
      <c r="B148" s="1" t="n">
        <f aca="false">CEILING(A148/12,1)</f>
        <v>10</v>
      </c>
      <c r="C148" s="1" t="n">
        <f aca="false">IF(A148&lt;=18, $B$15/12, 0)</f>
        <v>0</v>
      </c>
      <c r="D148" s="1" t="n">
        <f aca="false">INDEX('26. Team Comp'!$D$28:$R$28, B148) * 0.001 / 12</f>
        <v>0.636416666666667</v>
      </c>
      <c r="E148" s="1" t="n">
        <f aca="false"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>0</v>
      </c>
      <c r="F148" s="1" t="n">
        <f aca="false">IF(A148&lt;$F$6, 0, IF(AND($B$21=1, A148&gt;$B$19), 0, $E$6 * $G$6^((A148-$F$6)/12)))</f>
        <v>15.3572784563075</v>
      </c>
      <c r="G148" s="1" t="n">
        <f aca="false">IF(A148&lt;$F$7, 0, IF(AND($B$21=1, A148&gt;$B$19), 0, $E$7 * $G$7^((A148-$F$7)/12)))</f>
        <v>9.51691839126202</v>
      </c>
      <c r="H148" s="1" t="n">
        <f aca="false">IF(A148&lt;$F$8, 0, IF(AND($B$21=1, A148&gt;$B$19), 0, $E$8 * $G$8^((A148-$F$8)/12)))</f>
        <v>5.94940936139529</v>
      </c>
      <c r="I148" s="1" t="n">
        <f aca="false">IF(A148&lt;$F$9, 0, IF(AND($B$21=1, A148&gt;$B$19), 0, $E$9 * $G$9^((A148-$F$9)/12)))</f>
        <v>6.28059627447179</v>
      </c>
      <c r="J148" s="1" t="n">
        <f aca="false">IF(A148&lt;$F$10, 0, IF(AND($B$21=1, A148&gt;$B$19), 0, $E$10 * $G$10^((A148-$F$10)/12)))</f>
        <v>12.4630692937391</v>
      </c>
      <c r="K148" s="1" t="n">
        <f aca="false">IF(A148&lt;$F$11, 0, IF(AND($B$21=1, A148&gt;$B$19), 0, $E$11 * $G$11^((A148-$F$11)/12)))</f>
        <v>0</v>
      </c>
      <c r="L148" s="1" t="n">
        <f aca="false">IF(A148&lt;$F$12, 0, IF(AND($B$21=1, A148&gt;$B$19), 0, $E$12 * $G$12^((A148-$F$12)/12)))</f>
        <v>0</v>
      </c>
      <c r="M148" s="1" t="n">
        <f aca="false">IF(A148&lt;$F$13, 0, IF(AND($B$21=1, A148&gt;$B$19), 0, $E$13 * $G$13^((A148-$F$13)/12)))</f>
        <v>0</v>
      </c>
      <c r="N148" s="1" t="n">
        <f aca="false">IF(A148&lt;$F$14, 0, IF(AND($B$21=1, A148&gt;$B$19), 0, $E$14 * $G$14^((A148-$F$14)/12)))</f>
        <v>0</v>
      </c>
      <c r="O148" s="1" t="n">
        <f aca="false">SUM(F148:N148)</f>
        <v>49.5672717771758</v>
      </c>
      <c r="P148" s="1" t="n">
        <f aca="false">O148/12</f>
        <v>4.13060598143131</v>
      </c>
      <c r="Q148" s="1" t="n">
        <f aca="false">P148*$B$8</f>
        <v>0.413060598143131</v>
      </c>
      <c r="R148" s="1" t="n">
        <f aca="false">P148*$B$9</f>
        <v>0.206530299071566</v>
      </c>
      <c r="S148" s="1" t="n">
        <f aca="false">P148*$B$10</f>
        <v>0.247836358885879</v>
      </c>
      <c r="T148" s="1" t="n">
        <f aca="false">P148-Q148-R148-S148-D148-E148</f>
        <v>2.62676205866407</v>
      </c>
      <c r="U148" s="1" t="n">
        <f aca="false">MAX(0, T148 - $B$7*P148)</f>
        <v>0</v>
      </c>
      <c r="V148" s="1" t="n">
        <f aca="false">T148-U148</f>
        <v>2.62676205866407</v>
      </c>
      <c r="W148" s="1" t="n">
        <f aca="false"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>0</v>
      </c>
      <c r="X148" s="1" t="n">
        <f aca="false">V148-W148-C148</f>
        <v>2.62676205866407</v>
      </c>
      <c r="Y148" s="1" t="n">
        <f aca="false">IF(AND(A148&lt;=$F$10, X148&gt;0), X148*$B$23, 0)</f>
        <v>0</v>
      </c>
      <c r="Z148" s="1" t="n">
        <f aca="false">X148-Y148+IF(A148=$F$10+1, MAX(0, SUM(INDEX(Y:Y,31):INDEX(Y:Y,30+$F$10)) - ('1. Press Assumptions'!$D$93*'1. Press Assumptions'!$E$93 - '1. Press Assumptions'!$D$93*0.1154*0.5)), 0)</f>
        <v>2.62676205866407</v>
      </c>
      <c r="AA148" s="1" t="n">
        <f aca="false">IF(AND(A148=$B$19, $B$21=1), O148*$B$20, 0)</f>
        <v>0</v>
      </c>
      <c r="AB148" s="1" t="n">
        <f aca="false">AB147+Z148+AA148</f>
        <v>385.497969386678</v>
      </c>
    </row>
    <row r="149" customFormat="false" ht="15" hidden="false" customHeight="true" outlineLevel="0" collapsed="false">
      <c r="A149" s="1" t="n">
        <v>119</v>
      </c>
      <c r="B149" s="1" t="n">
        <f aca="false">CEILING(A149/12,1)</f>
        <v>10</v>
      </c>
      <c r="C149" s="1" t="n">
        <f aca="false">IF(A149&lt;=18, $B$15/12, 0)</f>
        <v>0</v>
      </c>
      <c r="D149" s="1" t="n">
        <f aca="false">INDEX('26. Team Comp'!$D$28:$R$28, B149) * 0.001 / 12</f>
        <v>0.636416666666667</v>
      </c>
      <c r="E149" s="1" t="n">
        <f aca="false"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>0</v>
      </c>
      <c r="F149" s="1" t="n">
        <f aca="false">IF(A149&lt;$F$6, 0, IF(AND($B$21=1, A149&gt;$B$19), 0, $E$6 * $G$6^((A149-$F$6)/12)))</f>
        <v>15.2917747681356</v>
      </c>
      <c r="G149" s="1" t="n">
        <f aca="false">IF(A149&lt;$F$7, 0, IF(AND($B$21=1, A149&gt;$B$19), 0, $E$7 * $G$7^((A149-$F$7)/12)))</f>
        <v>9.43372519319802</v>
      </c>
      <c r="H149" s="1" t="n">
        <f aca="false">IF(A149&lt;$F$8, 0, IF(AND($B$21=1, A149&gt;$B$19), 0, $E$8 * $G$8^((A149-$F$8)/12)))</f>
        <v>5.86937822191388</v>
      </c>
      <c r="I149" s="1" t="n">
        <f aca="false">IF(A149&lt;$F$9, 0, IF(AND($B$21=1, A149&gt;$B$19), 0, $E$9 * $G$9^((A149-$F$9)/12)))</f>
        <v>6.19611002618466</v>
      </c>
      <c r="J149" s="1" t="n">
        <f aca="false">IF(A149&lt;$F$10, 0, IF(AND($B$21=1, A149&gt;$B$19), 0, $E$10 * $G$10^((A149-$F$10)/12)))</f>
        <v>12.4099103302545</v>
      </c>
      <c r="K149" s="1" t="n">
        <f aca="false">IF(A149&lt;$F$11, 0, IF(AND($B$21=1, A149&gt;$B$19), 0, $E$11 * $G$11^((A149-$F$11)/12)))</f>
        <v>0</v>
      </c>
      <c r="L149" s="1" t="n">
        <f aca="false">IF(A149&lt;$F$12, 0, IF(AND($B$21=1, A149&gt;$B$19), 0, $E$12 * $G$12^((A149-$F$12)/12)))</f>
        <v>0</v>
      </c>
      <c r="M149" s="1" t="n">
        <f aca="false">IF(A149&lt;$F$13, 0, IF(AND($B$21=1, A149&gt;$B$19), 0, $E$13 * $G$13^((A149-$F$13)/12)))</f>
        <v>0</v>
      </c>
      <c r="N149" s="1" t="n">
        <f aca="false">IF(A149&lt;$F$14, 0, IF(AND($B$21=1, A149&gt;$B$19), 0, $E$14 * $G$14^((A149-$F$14)/12)))</f>
        <v>0</v>
      </c>
      <c r="O149" s="1" t="n">
        <f aca="false">SUM(F149:N149)</f>
        <v>49.2008985396867</v>
      </c>
      <c r="P149" s="1" t="n">
        <f aca="false">O149/12</f>
        <v>4.10007487830722</v>
      </c>
      <c r="Q149" s="1" t="n">
        <f aca="false">P149*$B$8</f>
        <v>0.410007487830722</v>
      </c>
      <c r="R149" s="1" t="n">
        <f aca="false">P149*$B$9</f>
        <v>0.205003743915361</v>
      </c>
      <c r="S149" s="1" t="n">
        <f aca="false">P149*$B$10</f>
        <v>0.246004492698433</v>
      </c>
      <c r="T149" s="1" t="n">
        <f aca="false">P149-Q149-R149-S149-D149-E149</f>
        <v>2.60264248719604</v>
      </c>
      <c r="U149" s="1" t="n">
        <f aca="false">MAX(0, T149 - $B$7*P149)</f>
        <v>0</v>
      </c>
      <c r="V149" s="1" t="n">
        <f aca="false">T149-U149</f>
        <v>2.60264248719604</v>
      </c>
      <c r="W149" s="1" t="n">
        <f aca="false"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>0</v>
      </c>
      <c r="X149" s="1" t="n">
        <f aca="false">V149-W149-C149</f>
        <v>2.60264248719604</v>
      </c>
      <c r="Y149" s="1" t="n">
        <f aca="false">IF(AND(A149&lt;=$F$10, X149&gt;0), X149*$B$23, 0)</f>
        <v>0</v>
      </c>
      <c r="Z149" s="1" t="n">
        <f aca="false">X149-Y149+IF(A149=$F$10+1, MAX(0, SUM(INDEX(Y:Y,31):INDEX(Y:Y,30+$F$10)) - ('1. Press Assumptions'!$D$93*'1. Press Assumptions'!$E$93 - '1. Press Assumptions'!$D$93*0.1154*0.5)), 0)</f>
        <v>2.60264248719604</v>
      </c>
      <c r="AA149" s="1" t="n">
        <f aca="false">IF(AND(A149=$B$19, $B$21=1), O149*$B$20, 0)</f>
        <v>0</v>
      </c>
      <c r="AB149" s="1" t="n">
        <f aca="false">AB148+Z149+AA149</f>
        <v>388.100611873874</v>
      </c>
    </row>
    <row r="150" customFormat="false" ht="15" hidden="false" customHeight="true" outlineLevel="0" collapsed="false">
      <c r="A150" s="1" t="n">
        <v>120</v>
      </c>
      <c r="B150" s="1" t="n">
        <f aca="false">CEILING(A150/12,1)</f>
        <v>10</v>
      </c>
      <c r="C150" s="1" t="n">
        <f aca="false">IF(A150&lt;=18, $B$15/12, 0)</f>
        <v>0</v>
      </c>
      <c r="D150" s="1" t="n">
        <f aca="false">INDEX('26. Team Comp'!$D$28:$R$28, B150) * 0.001 / 12</f>
        <v>0.636416666666667</v>
      </c>
      <c r="E150" s="1" t="n">
        <f aca="false"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>0</v>
      </c>
      <c r="F150" s="1" t="n">
        <f aca="false">IF(A150&lt;$F$6, 0, IF(AND($B$21=1, A150&gt;$B$19), 0, $E$6 * $G$6^((A150-$F$6)/12)))</f>
        <v>15.2265504740748</v>
      </c>
      <c r="G150" s="1" t="n">
        <f aca="false">IF(A150&lt;$F$7, 0, IF(AND($B$21=1, A150&gt;$B$19), 0, $E$7 * $G$7^((A150-$F$7)/12)))</f>
        <v>9.35125923770556</v>
      </c>
      <c r="H150" s="1" t="n">
        <f aca="false">IF(A150&lt;$F$8, 0, IF(AND($B$21=1, A150&gt;$B$19), 0, $E$8 * $G$8^((A150-$F$8)/12)))</f>
        <v>5.79042365708008</v>
      </c>
      <c r="I150" s="1" t="n">
        <f aca="false">IF(A150&lt;$F$9, 0, IF(AND($B$21=1, A150&gt;$B$19), 0, $E$9 * $G$9^((A150-$F$9)/12)))</f>
        <v>6.11276028243271</v>
      </c>
      <c r="J150" s="1" t="n">
        <f aca="false">IF(A150&lt;$F$10, 0, IF(AND($B$21=1, A150&gt;$B$19), 0, $E$10 * $G$10^((A150-$F$10)/12)))</f>
        <v>12.356978106695</v>
      </c>
      <c r="K150" s="1" t="n">
        <f aca="false">IF(A150&lt;$F$11, 0, IF(AND($B$21=1, A150&gt;$B$19), 0, $E$11 * $G$11^((A150-$F$11)/12)))</f>
        <v>0</v>
      </c>
      <c r="L150" s="1" t="n">
        <f aca="false">IF(A150&lt;$F$12, 0, IF(AND($B$21=1, A150&gt;$B$19), 0, $E$12 * $G$12^((A150-$F$12)/12)))</f>
        <v>0</v>
      </c>
      <c r="M150" s="1" t="n">
        <f aca="false">IF(A150&lt;$F$13, 0, IF(AND($B$21=1, A150&gt;$B$19), 0, $E$13 * $G$13^((A150-$F$13)/12)))</f>
        <v>0</v>
      </c>
      <c r="N150" s="1" t="n">
        <f aca="false">IF(A150&lt;$F$14, 0, IF(AND($B$21=1, A150&gt;$B$19), 0, $E$14 * $G$14^((A150-$F$14)/12)))</f>
        <v>0</v>
      </c>
      <c r="O150" s="1" t="n">
        <f aca="false">SUM(F150:N150)</f>
        <v>48.8379717579882</v>
      </c>
      <c r="P150" s="1" t="n">
        <f aca="false">O150/12</f>
        <v>4.06983097983235</v>
      </c>
      <c r="Q150" s="1" t="n">
        <f aca="false">P150*$B$8</f>
        <v>0.406983097983235</v>
      </c>
      <c r="R150" s="1" t="n">
        <f aca="false">P150*$B$9</f>
        <v>0.203491548991618</v>
      </c>
      <c r="S150" s="1" t="n">
        <f aca="false">P150*$B$10</f>
        <v>0.244189858789941</v>
      </c>
      <c r="T150" s="1" t="n">
        <f aca="false">P150-Q150-R150-S150-D150-E150</f>
        <v>2.57874980740089</v>
      </c>
      <c r="U150" s="1" t="n">
        <f aca="false">MAX(0, T150 - $B$7*P150)</f>
        <v>0</v>
      </c>
      <c r="V150" s="1" t="n">
        <f aca="false">T150-U150</f>
        <v>2.57874980740089</v>
      </c>
      <c r="W150" s="1" t="n">
        <f aca="false"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>0</v>
      </c>
      <c r="X150" s="1" t="n">
        <f aca="false">V150-W150-C150</f>
        <v>2.57874980740089</v>
      </c>
      <c r="Y150" s="1" t="n">
        <f aca="false">IF(AND(A150&lt;=$F$10, X150&gt;0), X150*$B$23, 0)</f>
        <v>0</v>
      </c>
      <c r="Z150" s="1" t="n">
        <f aca="false">X150-Y150+IF(A150=$F$10+1, MAX(0, SUM(INDEX(Y:Y,31):INDEX(Y:Y,30+$F$10)) - ('1. Press Assumptions'!$D$93*'1. Press Assumptions'!$E$93 - '1. Press Assumptions'!$D$93*0.1154*0.5)), 0)</f>
        <v>2.57874980740089</v>
      </c>
      <c r="AA150" s="1" t="n">
        <f aca="false">IF(AND(A150=$B$19, $B$21=1), O150*$B$20, 0)</f>
        <v>0</v>
      </c>
      <c r="AB150" s="1" t="n">
        <f aca="false">AB149+Z150+AA150</f>
        <v>390.679361681275</v>
      </c>
    </row>
    <row r="151" customFormat="false" ht="15" hidden="false" customHeight="true" outlineLevel="0" collapsed="false">
      <c r="A151" s="1" t="n">
        <v>121</v>
      </c>
      <c r="B151" s="1" t="n">
        <f aca="false">CEILING(A151/12,1)</f>
        <v>11</v>
      </c>
      <c r="C151" s="1" t="n">
        <f aca="false">IF(A151&lt;=18, $B$15/12, 0)</f>
        <v>0</v>
      </c>
      <c r="D151" s="1" t="n">
        <f aca="false">INDEX('26. Team Comp'!$D$28:$R$28, B151) * 0.001 / 12</f>
        <v>0.636416666666667</v>
      </c>
      <c r="E151" s="1" t="n">
        <f aca="false"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>0</v>
      </c>
      <c r="F151" s="1" t="n">
        <f aca="false">IF(A151&lt;$F$6, 0, IF(AND($B$21=1, A151&gt;$B$19), 0, $E$6 * $G$6^((A151-$F$6)/12)))</f>
        <v>15.1616043824203</v>
      </c>
      <c r="G151" s="1" t="n">
        <f aca="false">IF(A151&lt;$F$7, 0, IF(AND($B$21=1, A151&gt;$B$19), 0, $E$7 * $G$7^((A151-$F$7)/12)))</f>
        <v>9.26951416751302</v>
      </c>
      <c r="H151" s="1" t="n">
        <f aca="false">IF(A151&lt;$F$8, 0, IF(AND($B$21=1, A151&gt;$B$19), 0, $E$8 * $G$8^((A151-$F$8)/12)))</f>
        <v>5.71253118486876</v>
      </c>
      <c r="I151" s="1" t="n">
        <f aca="false">IF(A151&lt;$F$9, 0, IF(AND($B$21=1, A151&gt;$B$19), 0, $E$9 * $G$9^((A151-$F$9)/12)))</f>
        <v>6.03053175501717</v>
      </c>
      <c r="J151" s="1" t="n">
        <f aca="false">IF(A151&lt;$F$10, 0, IF(AND($B$21=1, A151&gt;$B$19), 0, $E$10 * $G$10^((A151-$F$10)/12)))</f>
        <v>12.3042716559426</v>
      </c>
      <c r="K151" s="1" t="n">
        <f aca="false">IF(A151&lt;$F$11, 0, IF(AND($B$21=1, A151&gt;$B$19), 0, $E$11 * $G$11^((A151-$F$11)/12)))</f>
        <v>0</v>
      </c>
      <c r="L151" s="1" t="n">
        <f aca="false">IF(A151&lt;$F$12, 0, IF(AND($B$21=1, A151&gt;$B$19), 0, $E$12 * $G$12^((A151-$F$12)/12)))</f>
        <v>0</v>
      </c>
      <c r="M151" s="1" t="n">
        <f aca="false">IF(A151&lt;$F$13, 0, IF(AND($B$21=1, A151&gt;$B$19), 0, $E$13 * $G$13^((A151-$F$13)/12)))</f>
        <v>0</v>
      </c>
      <c r="N151" s="1" t="n">
        <f aca="false">IF(A151&lt;$F$14, 0, IF(AND($B$21=1, A151&gt;$B$19), 0, $E$14 * $G$14^((A151-$F$14)/12)))</f>
        <v>0</v>
      </c>
      <c r="O151" s="1" t="n">
        <f aca="false">SUM(F151:N151)</f>
        <v>48.4784531457619</v>
      </c>
      <c r="P151" s="1" t="n">
        <f aca="false">O151/12</f>
        <v>4.03987109548016</v>
      </c>
      <c r="Q151" s="1" t="n">
        <f aca="false">P151*$B$8</f>
        <v>0.403987109548016</v>
      </c>
      <c r="R151" s="1" t="n">
        <f aca="false">P151*$B$9</f>
        <v>0.201993554774008</v>
      </c>
      <c r="S151" s="1" t="n">
        <f aca="false">P151*$B$10</f>
        <v>0.242392265728809</v>
      </c>
      <c r="T151" s="1" t="n">
        <f aca="false">P151-Q151-R151-S151-D151-E151</f>
        <v>2.55508149876266</v>
      </c>
      <c r="U151" s="1" t="n">
        <f aca="false">MAX(0, T151 - $B$7*P151)</f>
        <v>0</v>
      </c>
      <c r="V151" s="1" t="n">
        <f aca="false">T151-U151</f>
        <v>2.55508149876266</v>
      </c>
      <c r="W151" s="1" t="n">
        <f aca="false"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>0</v>
      </c>
      <c r="X151" s="1" t="n">
        <f aca="false">V151-W151-C151</f>
        <v>2.55508149876266</v>
      </c>
      <c r="Y151" s="1" t="n">
        <f aca="false">IF(AND(A151&lt;=$F$10, X151&gt;0), X151*$B$23, 0)</f>
        <v>0</v>
      </c>
      <c r="Z151" s="1" t="n">
        <f aca="false">X151-Y151+IF(A151=$F$10+1, MAX(0, SUM(INDEX(Y:Y,31):INDEX(Y:Y,30+$F$10)) - ('1. Press Assumptions'!$D$93*'1. Press Assumptions'!$E$93 - '1. Press Assumptions'!$D$93*0.1154*0.5)), 0)</f>
        <v>2.55508149876266</v>
      </c>
      <c r="AA151" s="1" t="n">
        <f aca="false">IF(AND(A151=$B$19, $B$21=1), O151*$B$20, 0)</f>
        <v>0</v>
      </c>
      <c r="AB151" s="1" t="n">
        <f aca="false">AB150+Z151+AA151</f>
        <v>393.234443180038</v>
      </c>
    </row>
    <row r="152" customFormat="false" ht="15" hidden="false" customHeight="true" outlineLevel="0" collapsed="false">
      <c r="A152" s="1" t="n">
        <v>122</v>
      </c>
      <c r="B152" s="1" t="n">
        <f aca="false">CEILING(A152/12,1)</f>
        <v>11</v>
      </c>
      <c r="C152" s="1" t="n">
        <f aca="false">IF(A152&lt;=18, $B$15/12, 0)</f>
        <v>0</v>
      </c>
      <c r="D152" s="1" t="n">
        <f aca="false">INDEX('26. Team Comp'!$D$28:$R$28, B152) * 0.001 / 12</f>
        <v>0.636416666666667</v>
      </c>
      <c r="E152" s="1" t="n">
        <f aca="false"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>0</v>
      </c>
      <c r="F152" s="1" t="n">
        <f aca="false">IF(A152&lt;$F$6, 0, IF(AND($B$21=1, A152&gt;$B$19), 0, $E$6 * $G$6^((A152-$F$6)/12)))</f>
        <v>15.09693530655</v>
      </c>
      <c r="G152" s="1" t="n">
        <f aca="false">IF(A152&lt;$F$7, 0, IF(AND($B$21=1, A152&gt;$B$19), 0, $E$7 * $G$7^((A152-$F$7)/12)))</f>
        <v>9.18848368092157</v>
      </c>
      <c r="H152" s="1" t="n">
        <f aca="false">IF(A152&lt;$F$8, 0, IF(AND($B$21=1, A152&gt;$B$19), 0, $E$8 * $G$8^((A152-$F$8)/12)))</f>
        <v>5.63568651806626</v>
      </c>
      <c r="I152" s="1" t="n">
        <f aca="false">IF(A152&lt;$F$9, 0, IF(AND($B$21=1, A152&gt;$B$19), 0, $E$9 * $G$9^((A152-$F$9)/12)))</f>
        <v>5.94940936139529</v>
      </c>
      <c r="J152" s="1" t="n">
        <f aca="false">IF(A152&lt;$F$10, 0, IF(AND($B$21=1, A152&gt;$B$19), 0, $E$10 * $G$10^((A152-$F$10)/12)))</f>
        <v>12.2517900150043</v>
      </c>
      <c r="K152" s="1" t="n">
        <f aca="false">IF(A152&lt;$F$11, 0, IF(AND($B$21=1, A152&gt;$B$19), 0, $E$11 * $G$11^((A152-$F$11)/12)))</f>
        <v>0</v>
      </c>
      <c r="L152" s="1" t="n">
        <f aca="false">IF(A152&lt;$F$12, 0, IF(AND($B$21=1, A152&gt;$B$19), 0, $E$12 * $G$12^((A152-$F$12)/12)))</f>
        <v>0</v>
      </c>
      <c r="M152" s="1" t="n">
        <f aca="false">IF(A152&lt;$F$13, 0, IF(AND($B$21=1, A152&gt;$B$19), 0, $E$13 * $G$13^((A152-$F$13)/12)))</f>
        <v>0</v>
      </c>
      <c r="N152" s="1" t="n">
        <f aca="false">IF(A152&lt;$F$14, 0, IF(AND($B$21=1, A152&gt;$B$19), 0, $E$14 * $G$14^((A152-$F$14)/12)))</f>
        <v>0</v>
      </c>
      <c r="O152" s="1" t="n">
        <f aca="false">SUM(F152:N152)</f>
        <v>48.1223048819375</v>
      </c>
      <c r="P152" s="1" t="n">
        <f aca="false">O152/12</f>
        <v>4.01019207349479</v>
      </c>
      <c r="Q152" s="1" t="n">
        <f aca="false">P152*$B$8</f>
        <v>0.401019207349479</v>
      </c>
      <c r="R152" s="1" t="n">
        <f aca="false">P152*$B$9</f>
        <v>0.20050960367474</v>
      </c>
      <c r="S152" s="1" t="n">
        <f aca="false">P152*$B$10</f>
        <v>0.240611524409687</v>
      </c>
      <c r="T152" s="1" t="n">
        <f aca="false">P152-Q152-R152-S152-D152-E152</f>
        <v>2.53163507139422</v>
      </c>
      <c r="U152" s="1" t="n">
        <f aca="false">MAX(0, T152 - $B$7*P152)</f>
        <v>0</v>
      </c>
      <c r="V152" s="1" t="n">
        <f aca="false">T152-U152</f>
        <v>2.53163507139422</v>
      </c>
      <c r="W152" s="1" t="n">
        <f aca="false"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>0</v>
      </c>
      <c r="X152" s="1" t="n">
        <f aca="false">V152-W152-C152</f>
        <v>2.53163507139422</v>
      </c>
      <c r="Y152" s="1" t="n">
        <f aca="false">IF(AND(A152&lt;=$F$10, X152&gt;0), X152*$B$23, 0)</f>
        <v>0</v>
      </c>
      <c r="Z152" s="1" t="n">
        <f aca="false">X152-Y152+IF(A152=$F$10+1, MAX(0, SUM(INDEX(Y:Y,31):INDEX(Y:Y,30+$F$10)) - ('1. Press Assumptions'!$D$93*'1. Press Assumptions'!$E$93 - '1. Press Assumptions'!$D$93*0.1154*0.5)), 0)</f>
        <v>2.53163507139422</v>
      </c>
      <c r="AA152" s="1" t="n">
        <f aca="false">IF(AND(A152=$B$19, $B$21=1), O152*$B$20, 0)</f>
        <v>0</v>
      </c>
      <c r="AB152" s="1" t="n">
        <f aca="false">AB151+Z152+AA152</f>
        <v>395.766078251432</v>
      </c>
    </row>
    <row r="153" customFormat="false" ht="15" hidden="false" customHeight="true" outlineLevel="0" collapsed="false">
      <c r="A153" s="1" t="n">
        <v>123</v>
      </c>
      <c r="B153" s="1" t="n">
        <f aca="false">CEILING(A153/12,1)</f>
        <v>11</v>
      </c>
      <c r="C153" s="1" t="n">
        <f aca="false">IF(A153&lt;=18, $B$15/12, 0)</f>
        <v>0</v>
      </c>
      <c r="D153" s="1" t="n">
        <f aca="false">INDEX('26. Team Comp'!$D$28:$R$28, B153) * 0.001 / 12</f>
        <v>0.636416666666667</v>
      </c>
      <c r="E153" s="1" t="n">
        <f aca="false"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>0</v>
      </c>
      <c r="F153" s="1" t="n">
        <f aca="false">IF(A153&lt;$F$6, 0, IF(AND($B$21=1, A153&gt;$B$19), 0, $E$6 * $G$6^((A153-$F$6)/12)))</f>
        <v>15.0325420649034</v>
      </c>
      <c r="G153" s="1" t="n">
        <f aca="false">IF(A153&lt;$F$7, 0, IF(AND($B$21=1, A153&gt;$B$19), 0, $E$7 * $G$7^((A153-$F$7)/12)))</f>
        <v>9.10816153131938</v>
      </c>
      <c r="H153" s="1" t="n">
        <f aca="false">IF(A153&lt;$F$8, 0, IF(AND($B$21=1, A153&gt;$B$19), 0, $E$8 * $G$8^((A153-$F$8)/12)))</f>
        <v>5.55987556164973</v>
      </c>
      <c r="I153" s="1" t="n">
        <f aca="false">IF(A153&lt;$F$9, 0, IF(AND($B$21=1, A153&gt;$B$19), 0, $E$9 * $G$9^((A153-$F$9)/12)))</f>
        <v>5.86937822191388</v>
      </c>
      <c r="J153" s="1" t="n">
        <f aca="false">IF(A153&lt;$F$10, 0, IF(AND($B$21=1, A153&gt;$B$19), 0, $E$10 * $G$10^((A153-$F$10)/12)))</f>
        <v>12.1995322249946</v>
      </c>
      <c r="K153" s="1" t="n">
        <f aca="false">IF(A153&lt;$F$11, 0, IF(AND($B$21=1, A153&gt;$B$19), 0, $E$11 * $G$11^((A153-$F$11)/12)))</f>
        <v>0</v>
      </c>
      <c r="L153" s="1" t="n">
        <f aca="false">IF(A153&lt;$F$12, 0, IF(AND($B$21=1, A153&gt;$B$19), 0, $E$12 * $G$12^((A153-$F$12)/12)))</f>
        <v>0</v>
      </c>
      <c r="M153" s="1" t="n">
        <f aca="false">IF(A153&lt;$F$13, 0, IF(AND($B$21=1, A153&gt;$B$19), 0, $E$13 * $G$13^((A153-$F$13)/12)))</f>
        <v>0</v>
      </c>
      <c r="N153" s="1" t="n">
        <f aca="false">IF(A153&lt;$F$14, 0, IF(AND($B$21=1, A153&gt;$B$19), 0, $E$14 * $G$14^((A153-$F$14)/12)))</f>
        <v>0</v>
      </c>
      <c r="O153" s="1" t="n">
        <f aca="false">SUM(F153:N153)</f>
        <v>47.769489604781</v>
      </c>
      <c r="P153" s="1" t="n">
        <f aca="false">O153/12</f>
        <v>3.98079080039841</v>
      </c>
      <c r="Q153" s="1" t="n">
        <f aca="false">P153*$B$8</f>
        <v>0.398079080039842</v>
      </c>
      <c r="R153" s="1" t="n">
        <f aca="false">P153*$B$9</f>
        <v>0.199039540019921</v>
      </c>
      <c r="S153" s="1" t="n">
        <f aca="false">P153*$B$10</f>
        <v>0.238847448023905</v>
      </c>
      <c r="T153" s="1" t="n">
        <f aca="false">P153-Q153-R153-S153-D153-E153</f>
        <v>2.50840806564808</v>
      </c>
      <c r="U153" s="1" t="n">
        <f aca="false">MAX(0, T153 - $B$7*P153)</f>
        <v>0</v>
      </c>
      <c r="V153" s="1" t="n">
        <f aca="false">T153-U153</f>
        <v>2.50840806564808</v>
      </c>
      <c r="W153" s="1" t="n">
        <f aca="false"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>0</v>
      </c>
      <c r="X153" s="1" t="n">
        <f aca="false">V153-W153-C153</f>
        <v>2.50840806564808</v>
      </c>
      <c r="Y153" s="1" t="n">
        <f aca="false">IF(AND(A153&lt;=$F$10, X153&gt;0), X153*$B$23, 0)</f>
        <v>0</v>
      </c>
      <c r="Z153" s="1" t="n">
        <f aca="false">X153-Y153+IF(A153=$F$10+1, MAX(0, SUM(INDEX(Y:Y,31):INDEX(Y:Y,30+$F$10)) - ('1. Press Assumptions'!$D$93*'1. Press Assumptions'!$E$93 - '1. Press Assumptions'!$D$93*0.1154*0.5)), 0)</f>
        <v>2.50840806564808</v>
      </c>
      <c r="AA153" s="1" t="n">
        <f aca="false">IF(AND(A153=$B$19, $B$21=1), O153*$B$20, 0)</f>
        <v>0</v>
      </c>
      <c r="AB153" s="1" t="n">
        <f aca="false">AB152+Z153+AA153</f>
        <v>398.27448631708</v>
      </c>
    </row>
    <row r="154" customFormat="false" ht="15" hidden="false" customHeight="true" outlineLevel="0" collapsed="false">
      <c r="A154" s="1" t="n">
        <v>124</v>
      </c>
      <c r="B154" s="1" t="n">
        <f aca="false">CEILING(A154/12,1)</f>
        <v>11</v>
      </c>
      <c r="C154" s="1" t="n">
        <f aca="false">IF(A154&lt;=18, $B$15/12, 0)</f>
        <v>0</v>
      </c>
      <c r="D154" s="1" t="n">
        <f aca="false">INDEX('26. Team Comp'!$D$28:$R$28, B154) * 0.001 / 12</f>
        <v>0.636416666666667</v>
      </c>
      <c r="E154" s="1" t="n">
        <f aca="false"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>0</v>
      </c>
      <c r="F154" s="1" t="n">
        <f aca="false">IF(A154&lt;$F$6, 0, IF(AND($B$21=1, A154&gt;$B$19), 0, $E$6 * $G$6^((A154-$F$6)/12)))</f>
        <v>14.9684234809595</v>
      </c>
      <c r="G154" s="1" t="n">
        <f aca="false">IF(A154&lt;$F$7, 0, IF(AND($B$21=1, A154&gt;$B$19), 0, $E$7 * $G$7^((A154-$F$7)/12)))</f>
        <v>9.02854152670005</v>
      </c>
      <c r="H154" s="1" t="n">
        <f aca="false">IF(A154&lt;$F$8, 0, IF(AND($B$21=1, A154&gt;$B$19), 0, $E$8 * $G$8^((A154-$F$8)/12)))</f>
        <v>5.48508441020183</v>
      </c>
      <c r="I154" s="1" t="n">
        <f aca="false">IF(A154&lt;$F$9, 0, IF(AND($B$21=1, A154&gt;$B$19), 0, $E$9 * $G$9^((A154-$F$9)/12)))</f>
        <v>5.79042365708008</v>
      </c>
      <c r="J154" s="1" t="n">
        <f aca="false">IF(A154&lt;$F$10, 0, IF(AND($B$21=1, A154&gt;$B$19), 0, $E$10 * $G$10^((A154-$F$10)/12)))</f>
        <v>12.1474973311179</v>
      </c>
      <c r="K154" s="1" t="n">
        <f aca="false">IF(A154&lt;$F$11, 0, IF(AND($B$21=1, A154&gt;$B$19), 0, $E$11 * $G$11^((A154-$F$11)/12)))</f>
        <v>0</v>
      </c>
      <c r="L154" s="1" t="n">
        <f aca="false">IF(A154&lt;$F$12, 0, IF(AND($B$21=1, A154&gt;$B$19), 0, $E$12 * $G$12^((A154-$F$12)/12)))</f>
        <v>0</v>
      </c>
      <c r="M154" s="1" t="n">
        <f aca="false">IF(A154&lt;$F$13, 0, IF(AND($B$21=1, A154&gt;$B$19), 0, $E$13 * $G$13^((A154-$F$13)/12)))</f>
        <v>0</v>
      </c>
      <c r="N154" s="1" t="n">
        <f aca="false">IF(A154&lt;$F$14, 0, IF(AND($B$21=1, A154&gt;$B$19), 0, $E$14 * $G$14^((A154-$F$14)/12)))</f>
        <v>0</v>
      </c>
      <c r="O154" s="1" t="n">
        <f aca="false">SUM(F154:N154)</f>
        <v>47.4199704060593</v>
      </c>
      <c r="P154" s="1" t="n">
        <f aca="false">O154/12</f>
        <v>3.95166420050494</v>
      </c>
      <c r="Q154" s="1" t="n">
        <f aca="false">P154*$B$8</f>
        <v>0.395166420050494</v>
      </c>
      <c r="R154" s="1" t="n">
        <f aca="false">P154*$B$9</f>
        <v>0.197583210025247</v>
      </c>
      <c r="S154" s="1" t="n">
        <f aca="false">P154*$B$10</f>
        <v>0.237099852030297</v>
      </c>
      <c r="T154" s="1" t="n">
        <f aca="false">P154-Q154-R154-S154-D154-E154</f>
        <v>2.48539805173224</v>
      </c>
      <c r="U154" s="1" t="n">
        <f aca="false">MAX(0, T154 - $B$7*P154)</f>
        <v>0</v>
      </c>
      <c r="V154" s="1" t="n">
        <f aca="false">T154-U154</f>
        <v>2.48539805173224</v>
      </c>
      <c r="W154" s="1" t="n">
        <f aca="false"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>0</v>
      </c>
      <c r="X154" s="1" t="n">
        <f aca="false">V154-W154-C154</f>
        <v>2.48539805173224</v>
      </c>
      <c r="Y154" s="1" t="n">
        <f aca="false">IF(AND(A154&lt;=$F$10, X154&gt;0), X154*$B$23, 0)</f>
        <v>0</v>
      </c>
      <c r="Z154" s="1" t="n">
        <f aca="false">X154-Y154+IF(A154=$F$10+1, MAX(0, SUM(INDEX(Y:Y,31):INDEX(Y:Y,30+$F$10)) - ('1. Press Assumptions'!$D$93*'1. Press Assumptions'!$E$93 - '1. Press Assumptions'!$D$93*0.1154*0.5)), 0)</f>
        <v>2.48539805173224</v>
      </c>
      <c r="AA154" s="1" t="n">
        <f aca="false">IF(AND(A154=$B$19, $B$21=1), O154*$B$20, 0)</f>
        <v>0</v>
      </c>
      <c r="AB154" s="1" t="n">
        <f aca="false">AB153+Z154+AA154</f>
        <v>400.759884368812</v>
      </c>
    </row>
    <row r="155" customFormat="false" ht="15" hidden="false" customHeight="true" outlineLevel="0" collapsed="false">
      <c r="A155" s="1" t="n">
        <v>125</v>
      </c>
      <c r="B155" s="1" t="n">
        <f aca="false">CEILING(A155/12,1)</f>
        <v>11</v>
      </c>
      <c r="C155" s="1" t="n">
        <f aca="false">IF(A155&lt;=18, $B$15/12, 0)</f>
        <v>0</v>
      </c>
      <c r="D155" s="1" t="n">
        <f aca="false">INDEX('26. Team Comp'!$D$28:$R$28, B155) * 0.001 / 12</f>
        <v>0.636416666666667</v>
      </c>
      <c r="E155" s="1" t="n">
        <f aca="false"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>0</v>
      </c>
      <c r="F155" s="1" t="n">
        <f aca="false">IF(A155&lt;$F$6, 0, IF(AND($B$21=1, A155&gt;$B$19), 0, $E$6 * $G$6^((A155-$F$6)/12)))</f>
        <v>14.9045783832157</v>
      </c>
      <c r="G155" s="1" t="n">
        <f aca="false">IF(A155&lt;$F$7, 0, IF(AND($B$21=1, A155&gt;$B$19), 0, $E$7 * $G$7^((A155-$F$7)/12)))</f>
        <v>8.94961752918531</v>
      </c>
      <c r="H155" s="1" t="n">
        <f aca="false">IF(A155&lt;$F$8, 0, IF(AND($B$21=1, A155&gt;$B$19), 0, $E$8 * $G$8^((A155-$F$8)/12)))</f>
        <v>5.41129934536017</v>
      </c>
      <c r="I155" s="1" t="n">
        <f aca="false">IF(A155&lt;$F$9, 0, IF(AND($B$21=1, A155&gt;$B$19), 0, $E$9 * $G$9^((A155-$F$9)/12)))</f>
        <v>5.71253118486876</v>
      </c>
      <c r="J155" s="1" t="n">
        <f aca="false">IF(A155&lt;$F$10, 0, IF(AND($B$21=1, A155&gt;$B$19), 0, $E$10 * $G$10^((A155-$F$10)/12)))</f>
        <v>12.0956843826511</v>
      </c>
      <c r="K155" s="1" t="n">
        <f aca="false">IF(A155&lt;$F$11, 0, IF(AND($B$21=1, A155&gt;$B$19), 0, $E$11 * $G$11^((A155-$F$11)/12)))</f>
        <v>0</v>
      </c>
      <c r="L155" s="1" t="n">
        <f aca="false">IF(A155&lt;$F$12, 0, IF(AND($B$21=1, A155&gt;$B$19), 0, $E$12 * $G$12^((A155-$F$12)/12)))</f>
        <v>0</v>
      </c>
      <c r="M155" s="1" t="n">
        <f aca="false">IF(A155&lt;$F$13, 0, IF(AND($B$21=1, A155&gt;$B$19), 0, $E$13 * $G$13^((A155-$F$13)/12)))</f>
        <v>0</v>
      </c>
      <c r="N155" s="1" t="n">
        <f aca="false">IF(A155&lt;$F$14, 0, IF(AND($B$21=1, A155&gt;$B$19), 0, $E$14 * $G$14^((A155-$F$14)/12)))</f>
        <v>0</v>
      </c>
      <c r="O155" s="1" t="n">
        <f aca="false">SUM(F155:N155)</f>
        <v>47.073710825281</v>
      </c>
      <c r="P155" s="1" t="n">
        <f aca="false">O155/12</f>
        <v>3.92280923544008</v>
      </c>
      <c r="Q155" s="1" t="n">
        <f aca="false">P155*$B$8</f>
        <v>0.392280923544008</v>
      </c>
      <c r="R155" s="1" t="n">
        <f aca="false">P155*$B$9</f>
        <v>0.196140461772004</v>
      </c>
      <c r="S155" s="1" t="n">
        <f aca="false">P155*$B$10</f>
        <v>0.235368554126405</v>
      </c>
      <c r="T155" s="1" t="n">
        <f aca="false">P155-Q155-R155-S155-D155-E155</f>
        <v>2.462602629331</v>
      </c>
      <c r="U155" s="1" t="n">
        <f aca="false">MAX(0, T155 - $B$7*P155)</f>
        <v>0</v>
      </c>
      <c r="V155" s="1" t="n">
        <f aca="false">T155-U155</f>
        <v>2.462602629331</v>
      </c>
      <c r="W155" s="1" t="n">
        <f aca="false"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>0</v>
      </c>
      <c r="X155" s="1" t="n">
        <f aca="false">V155-W155-C155</f>
        <v>2.462602629331</v>
      </c>
      <c r="Y155" s="1" t="n">
        <f aca="false">IF(AND(A155&lt;=$F$10, X155&gt;0), X155*$B$23, 0)</f>
        <v>0</v>
      </c>
      <c r="Z155" s="1" t="n">
        <f aca="false">X155-Y155+IF(A155=$F$10+1, MAX(0, SUM(INDEX(Y:Y,31):INDEX(Y:Y,30+$F$10)) - ('1. Press Assumptions'!$D$93*'1. Press Assumptions'!$E$93 - '1. Press Assumptions'!$D$93*0.1154*0.5)), 0)</f>
        <v>2.462602629331</v>
      </c>
      <c r="AA155" s="1" t="n">
        <f aca="false">IF(AND(A155=$B$19, $B$21=1), O155*$B$20, 0)</f>
        <v>0</v>
      </c>
      <c r="AB155" s="1" t="n">
        <f aca="false">AB154+Z155+AA155</f>
        <v>403.222486998143</v>
      </c>
    </row>
    <row r="156" customFormat="false" ht="15" hidden="false" customHeight="true" outlineLevel="0" collapsed="false">
      <c r="A156" s="1" t="n">
        <v>126</v>
      </c>
      <c r="B156" s="1" t="n">
        <f aca="false">CEILING(A156/12,1)</f>
        <v>11</v>
      </c>
      <c r="C156" s="1" t="n">
        <f aca="false">IF(A156&lt;=18, $B$15/12, 0)</f>
        <v>0</v>
      </c>
      <c r="D156" s="1" t="n">
        <f aca="false">INDEX('26. Team Comp'!$D$28:$R$28, B156) * 0.001 / 12</f>
        <v>0.636416666666667</v>
      </c>
      <c r="E156" s="1" t="n">
        <f aca="false"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>0</v>
      </c>
      <c r="F156" s="1" t="n">
        <f aca="false">IF(A156&lt;$F$6, 0, IF(AND($B$21=1, A156&gt;$B$19), 0, $E$6 * $G$6^((A156-$F$6)/12)))</f>
        <v>14.8410056051661</v>
      </c>
      <c r="G156" s="1" t="n">
        <f aca="false">IF(A156&lt;$F$7, 0, IF(AND($B$21=1, A156&gt;$B$19), 0, $E$7 * $G$7^((A156-$F$7)/12)))</f>
        <v>8.87138345455184</v>
      </c>
      <c r="H156" s="1" t="n">
        <f aca="false">IF(A156&lt;$F$8, 0, IF(AND($B$21=1, A156&gt;$B$19), 0, $E$8 * $G$8^((A156-$F$8)/12)))</f>
        <v>5.33850683330102</v>
      </c>
      <c r="I156" s="1" t="n">
        <f aca="false">IF(A156&lt;$F$9, 0, IF(AND($B$21=1, A156&gt;$B$19), 0, $E$9 * $G$9^((A156-$F$9)/12)))</f>
        <v>5.63568651806626</v>
      </c>
      <c r="J156" s="1" t="n">
        <f aca="false">IF(A156&lt;$F$10, 0, IF(AND($B$21=1, A156&gt;$B$19), 0, $E$10 * $G$10^((A156-$F$10)/12)))</f>
        <v>12.0440924329263</v>
      </c>
      <c r="K156" s="1" t="n">
        <f aca="false">IF(A156&lt;$F$11, 0, IF(AND($B$21=1, A156&gt;$B$19), 0, $E$11 * $G$11^((A156-$F$11)/12)))</f>
        <v>0</v>
      </c>
      <c r="L156" s="1" t="n">
        <f aca="false">IF(A156&lt;$F$12, 0, IF(AND($B$21=1, A156&gt;$B$19), 0, $E$12 * $G$12^((A156-$F$12)/12)))</f>
        <v>0</v>
      </c>
      <c r="M156" s="1" t="n">
        <f aca="false">IF(A156&lt;$F$13, 0, IF(AND($B$21=1, A156&gt;$B$19), 0, $E$13 * $G$13^((A156-$F$13)/12)))</f>
        <v>0</v>
      </c>
      <c r="N156" s="1" t="n">
        <f aca="false">IF(A156&lt;$F$14, 0, IF(AND($B$21=1, A156&gt;$B$19), 0, $E$14 * $G$14^((A156-$F$14)/12)))</f>
        <v>0</v>
      </c>
      <c r="O156" s="1" t="n">
        <f aca="false">SUM(F156:N156)</f>
        <v>46.7306748440115</v>
      </c>
      <c r="P156" s="1" t="n">
        <f aca="false">O156/12</f>
        <v>3.89422290366763</v>
      </c>
      <c r="Q156" s="1" t="n">
        <f aca="false">P156*$B$8</f>
        <v>0.389422290366763</v>
      </c>
      <c r="R156" s="1" t="n">
        <f aca="false">P156*$B$9</f>
        <v>0.194711145183381</v>
      </c>
      <c r="S156" s="1" t="n">
        <f aca="false">P156*$B$10</f>
        <v>0.233653374220058</v>
      </c>
      <c r="T156" s="1" t="n">
        <f aca="false">P156-Q156-R156-S156-D156-E156</f>
        <v>2.44001942723076</v>
      </c>
      <c r="U156" s="1" t="n">
        <f aca="false">MAX(0, T156 - $B$7*P156)</f>
        <v>0</v>
      </c>
      <c r="V156" s="1" t="n">
        <f aca="false">T156-U156</f>
        <v>2.44001942723076</v>
      </c>
      <c r="W156" s="1" t="n">
        <f aca="false"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>0</v>
      </c>
      <c r="X156" s="1" t="n">
        <f aca="false">V156-W156-C156</f>
        <v>2.44001942723076</v>
      </c>
      <c r="Y156" s="1" t="n">
        <f aca="false">IF(AND(A156&lt;=$F$10, X156&gt;0), X156*$B$23, 0)</f>
        <v>0</v>
      </c>
      <c r="Z156" s="1" t="n">
        <f aca="false">X156-Y156+IF(A156=$F$10+1, MAX(0, SUM(INDEX(Y:Y,31):INDEX(Y:Y,30+$F$10)) - ('1. Press Assumptions'!$D$93*'1. Press Assumptions'!$E$93 - '1. Press Assumptions'!$D$93*0.1154*0.5)), 0)</f>
        <v>2.44001942723076</v>
      </c>
      <c r="AA156" s="1" t="n">
        <f aca="false">IF(AND(A156=$B$19, $B$21=1), O156*$B$20, 0)</f>
        <v>0</v>
      </c>
      <c r="AB156" s="1" t="n">
        <f aca="false">AB155+Z156+AA156</f>
        <v>405.662506425374</v>
      </c>
    </row>
    <row r="157" customFormat="false" ht="15" hidden="false" customHeight="true" outlineLevel="0" collapsed="false">
      <c r="A157" s="1" t="n">
        <v>127</v>
      </c>
      <c r="B157" s="1" t="n">
        <f aca="false">CEILING(A157/12,1)</f>
        <v>11</v>
      </c>
      <c r="C157" s="1" t="n">
        <f aca="false">IF(A157&lt;=18, $B$15/12, 0)</f>
        <v>0</v>
      </c>
      <c r="D157" s="1" t="n">
        <f aca="false">INDEX('26. Team Comp'!$D$28:$R$28, B157) * 0.001 / 12</f>
        <v>0.636416666666667</v>
      </c>
      <c r="E157" s="1" t="n">
        <f aca="false"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>0</v>
      </c>
      <c r="F157" s="1" t="n">
        <f aca="false">IF(A157&lt;$F$6, 0, IF(AND($B$21=1, A157&gt;$B$19), 0, $E$6 * $G$6^((A157-$F$6)/12)))</f>
        <v>14.7777039852805</v>
      </c>
      <c r="G157" s="1" t="n">
        <f aca="false">IF(A157&lt;$F$7, 0, IF(AND($B$21=1, A157&gt;$B$19), 0, $E$7 * $G$7^((A157-$F$7)/12)))</f>
        <v>8.79383327176222</v>
      </c>
      <c r="H157" s="1" t="n">
        <f aca="false">IF(A157&lt;$F$8, 0, IF(AND($B$21=1, A157&gt;$B$19), 0, $E$8 * $G$8^((A157-$F$8)/12)))</f>
        <v>5.26669352225696</v>
      </c>
      <c r="I157" s="1" t="n">
        <f aca="false">IF(A157&lt;$F$9, 0, IF(AND($B$21=1, A157&gt;$B$19), 0, $E$9 * $G$9^((A157-$F$9)/12)))</f>
        <v>5.55987556164973</v>
      </c>
      <c r="J157" s="1" t="n">
        <f aca="false">IF(A157&lt;$F$10, 0, IF(AND($B$21=1, A157&gt;$B$19), 0, $E$10 * $G$10^((A157-$F$10)/12)))</f>
        <v>11.9927205393135</v>
      </c>
      <c r="K157" s="1" t="n">
        <f aca="false">IF(A157&lt;$F$11, 0, IF(AND($B$21=1, A157&gt;$B$19), 0, $E$11 * $G$11^((A157-$F$11)/12)))</f>
        <v>0</v>
      </c>
      <c r="L157" s="1" t="n">
        <f aca="false">IF(A157&lt;$F$12, 0, IF(AND($B$21=1, A157&gt;$B$19), 0, $E$12 * $G$12^((A157-$F$12)/12)))</f>
        <v>0</v>
      </c>
      <c r="M157" s="1" t="n">
        <f aca="false">IF(A157&lt;$F$13, 0, IF(AND($B$21=1, A157&gt;$B$19), 0, $E$13 * $G$13^((A157-$F$13)/12)))</f>
        <v>0</v>
      </c>
      <c r="N157" s="1" t="n">
        <f aca="false">IF(A157&lt;$F$14, 0, IF(AND($B$21=1, A157&gt;$B$19), 0, $E$14 * $G$14^((A157-$F$14)/12)))</f>
        <v>0</v>
      </c>
      <c r="O157" s="1" t="n">
        <f aca="false">SUM(F157:N157)</f>
        <v>46.3908268802629</v>
      </c>
      <c r="P157" s="1" t="n">
        <f aca="false">O157/12</f>
        <v>3.86590224002191</v>
      </c>
      <c r="Q157" s="1" t="n">
        <f aca="false">P157*$B$8</f>
        <v>0.386590224002191</v>
      </c>
      <c r="R157" s="1" t="n">
        <f aca="false">P157*$B$9</f>
        <v>0.193295112001095</v>
      </c>
      <c r="S157" s="1" t="n">
        <f aca="false">P157*$B$10</f>
        <v>0.231954134401314</v>
      </c>
      <c r="T157" s="1" t="n">
        <f aca="false">P157-Q157-R157-S157-D157-E157</f>
        <v>2.41764610295064</v>
      </c>
      <c r="U157" s="1" t="n">
        <f aca="false">MAX(0, T157 - $B$7*P157)</f>
        <v>0</v>
      </c>
      <c r="V157" s="1" t="n">
        <f aca="false">T157-U157</f>
        <v>2.41764610295064</v>
      </c>
      <c r="W157" s="1" t="n">
        <f aca="false"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>0</v>
      </c>
      <c r="X157" s="1" t="n">
        <f aca="false">V157-W157-C157</f>
        <v>2.41764610295064</v>
      </c>
      <c r="Y157" s="1" t="n">
        <f aca="false">IF(AND(A157&lt;=$F$10, X157&gt;0), X157*$B$23, 0)</f>
        <v>0</v>
      </c>
      <c r="Z157" s="1" t="n">
        <f aca="false">X157-Y157+IF(A157=$F$10+1, MAX(0, SUM(INDEX(Y:Y,31):INDEX(Y:Y,30+$F$10)) - ('1. Press Assumptions'!$D$93*'1. Press Assumptions'!$E$93 - '1. Press Assumptions'!$D$93*0.1154*0.5)), 0)</f>
        <v>2.41764610295064</v>
      </c>
      <c r="AA157" s="1" t="n">
        <f aca="false">IF(AND(A157=$B$19, $B$21=1), O157*$B$20, 0)</f>
        <v>0</v>
      </c>
      <c r="AB157" s="1" t="n">
        <f aca="false">AB156+Z157+AA157</f>
        <v>408.080152528324</v>
      </c>
    </row>
    <row r="158" customFormat="false" ht="15" hidden="false" customHeight="true" outlineLevel="0" collapsed="false">
      <c r="A158" s="1" t="n">
        <v>128</v>
      </c>
      <c r="B158" s="1" t="n">
        <f aca="false">CEILING(A158/12,1)</f>
        <v>11</v>
      </c>
      <c r="C158" s="1" t="n">
        <f aca="false">IF(A158&lt;=18, $B$15/12, 0)</f>
        <v>0</v>
      </c>
      <c r="D158" s="1" t="n">
        <f aca="false">INDEX('26. Team Comp'!$D$28:$R$28, B158) * 0.001 / 12</f>
        <v>0.636416666666667</v>
      </c>
      <c r="E158" s="1" t="n">
        <f aca="false"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>0</v>
      </c>
      <c r="F158" s="1" t="n">
        <f aca="false">IF(A158&lt;$F$6, 0, IF(AND($B$21=1, A158&gt;$B$19), 0, $E$6 * $G$6^((A158-$F$6)/12)))</f>
        <v>14.7146723669828</v>
      </c>
      <c r="G158" s="1" t="n">
        <f aca="false">IF(A158&lt;$F$7, 0, IF(AND($B$21=1, A158&gt;$B$19), 0, $E$7 * $G$7^((A158-$F$7)/12)))</f>
        <v>8.7169610025</v>
      </c>
      <c r="H158" s="1" t="n">
        <f aca="false">IF(A158&lt;$F$8, 0, IF(AND($B$21=1, A158&gt;$B$19), 0, $E$8 * $G$8^((A158-$F$8)/12)))</f>
        <v>5.1958462400678</v>
      </c>
      <c r="I158" s="1" t="n">
        <f aca="false">IF(A158&lt;$F$9, 0, IF(AND($B$21=1, A158&gt;$B$19), 0, $E$9 * $G$9^((A158-$F$9)/12)))</f>
        <v>5.48508441020183</v>
      </c>
      <c r="J158" s="1" t="n">
        <f aca="false">IF(A158&lt;$F$10, 0, IF(AND($B$21=1, A158&gt;$B$19), 0, $E$10 * $G$10^((A158-$F$10)/12)))</f>
        <v>11.9415677632031</v>
      </c>
      <c r="K158" s="1" t="n">
        <f aca="false">IF(A158&lt;$F$11, 0, IF(AND($B$21=1, A158&gt;$B$19), 0, $E$11 * $G$11^((A158-$F$11)/12)))</f>
        <v>0</v>
      </c>
      <c r="L158" s="1" t="n">
        <f aca="false">IF(A158&lt;$F$12, 0, IF(AND($B$21=1, A158&gt;$B$19), 0, $E$12 * $G$12^((A158-$F$12)/12)))</f>
        <v>0</v>
      </c>
      <c r="M158" s="1" t="n">
        <f aca="false">IF(A158&lt;$F$13, 0, IF(AND($B$21=1, A158&gt;$B$19), 0, $E$13 * $G$13^((A158-$F$13)/12)))</f>
        <v>0</v>
      </c>
      <c r="N158" s="1" t="n">
        <f aca="false">IF(A158&lt;$F$14, 0, IF(AND($B$21=1, A158&gt;$B$19), 0, $E$14 * $G$14^((A158-$F$14)/12)))</f>
        <v>0</v>
      </c>
      <c r="O158" s="1" t="n">
        <f aca="false">SUM(F158:N158)</f>
        <v>46.0541317829556</v>
      </c>
      <c r="P158" s="1" t="n">
        <f aca="false">O158/12</f>
        <v>3.8378443152463</v>
      </c>
      <c r="Q158" s="1" t="n">
        <f aca="false">P158*$B$8</f>
        <v>0.38378443152463</v>
      </c>
      <c r="R158" s="1" t="n">
        <f aca="false">P158*$B$9</f>
        <v>0.191892215762315</v>
      </c>
      <c r="S158" s="1" t="n">
        <f aca="false">P158*$B$10</f>
        <v>0.230270658914778</v>
      </c>
      <c r="T158" s="1" t="n">
        <f aca="false">P158-Q158-R158-S158-D158-E158</f>
        <v>2.39548034237791</v>
      </c>
      <c r="U158" s="1" t="n">
        <f aca="false">MAX(0, T158 - $B$7*P158)</f>
        <v>0</v>
      </c>
      <c r="V158" s="1" t="n">
        <f aca="false">T158-U158</f>
        <v>2.39548034237791</v>
      </c>
      <c r="W158" s="1" t="n">
        <f aca="false"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>0</v>
      </c>
      <c r="X158" s="1" t="n">
        <f aca="false">V158-W158-C158</f>
        <v>2.39548034237791</v>
      </c>
      <c r="Y158" s="1" t="n">
        <f aca="false">IF(AND(A158&lt;=$F$10, X158&gt;0), X158*$B$23, 0)</f>
        <v>0</v>
      </c>
      <c r="Z158" s="1" t="n">
        <f aca="false">X158-Y158+IF(A158=$F$10+1, MAX(0, SUM(INDEX(Y:Y,31):INDEX(Y:Y,30+$F$10)) - ('1. Press Assumptions'!$D$93*'1. Press Assumptions'!$E$93 - '1. Press Assumptions'!$D$93*0.1154*0.5)), 0)</f>
        <v>2.39548034237791</v>
      </c>
      <c r="AA158" s="1" t="n">
        <f aca="false">IF(AND(A158=$B$19, $B$21=1), O158*$B$20, 0)</f>
        <v>0</v>
      </c>
      <c r="AB158" s="1" t="n">
        <f aca="false">AB157+Z158+AA158</f>
        <v>410.475632870702</v>
      </c>
    </row>
    <row r="159" customFormat="false" ht="15" hidden="false" customHeight="true" outlineLevel="0" collapsed="false">
      <c r="A159" s="1" t="n">
        <v>129</v>
      </c>
      <c r="B159" s="1" t="n">
        <f aca="false">CEILING(A159/12,1)</f>
        <v>11</v>
      </c>
      <c r="C159" s="1" t="n">
        <f aca="false">IF(A159&lt;=18, $B$15/12, 0)</f>
        <v>0</v>
      </c>
      <c r="D159" s="1" t="n">
        <f aca="false">INDEX('26. Team Comp'!$D$28:$R$28, B159) * 0.001 / 12</f>
        <v>0.636416666666667</v>
      </c>
      <c r="E159" s="1" t="n">
        <f aca="false"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>0</v>
      </c>
      <c r="F159" s="1" t="n">
        <f aca="false">IF(A159&lt;$F$6, 0, IF(AND($B$21=1, A159&gt;$B$19), 0, $E$6 * $G$6^((A159-$F$6)/12)))</f>
        <v>14.6519095986303</v>
      </c>
      <c r="G159" s="1" t="n">
        <f aca="false">IF(A159&lt;$F$7, 0, IF(AND($B$21=1, A159&gt;$B$19), 0, $E$7 * $G$7^((A159-$F$7)/12)))</f>
        <v>8.64076072070888</v>
      </c>
      <c r="H159" s="1" t="n">
        <f aca="false">IF(A159&lt;$F$8, 0, IF(AND($B$21=1, A159&gt;$B$19), 0, $E$8 * $G$8^((A159-$F$8)/12)))</f>
        <v>5.12595199176459</v>
      </c>
      <c r="I159" s="1" t="n">
        <f aca="false">IF(A159&lt;$F$9, 0, IF(AND($B$21=1, A159&gt;$B$19), 0, $E$9 * $G$9^((A159-$F$9)/12)))</f>
        <v>5.41129934536017</v>
      </c>
      <c r="J159" s="1" t="n">
        <f aca="false">IF(A159&lt;$F$10, 0, IF(AND($B$21=1, A159&gt;$B$19), 0, $E$10 * $G$10^((A159-$F$10)/12)))</f>
        <v>11.8906331699892</v>
      </c>
      <c r="K159" s="1" t="n">
        <f aca="false">IF(A159&lt;$F$11, 0, IF(AND($B$21=1, A159&gt;$B$19), 0, $E$11 * $G$11^((A159-$F$11)/12)))</f>
        <v>0</v>
      </c>
      <c r="L159" s="1" t="n">
        <f aca="false">IF(A159&lt;$F$12, 0, IF(AND($B$21=1, A159&gt;$B$19), 0, $E$12 * $G$12^((A159-$F$12)/12)))</f>
        <v>0</v>
      </c>
      <c r="M159" s="1" t="n">
        <f aca="false">IF(A159&lt;$F$13, 0, IF(AND($B$21=1, A159&gt;$B$19), 0, $E$13 * $G$13^((A159-$F$13)/12)))</f>
        <v>0</v>
      </c>
      <c r="N159" s="1" t="n">
        <f aca="false">IF(A159&lt;$F$14, 0, IF(AND($B$21=1, A159&gt;$B$19), 0, $E$14 * $G$14^((A159-$F$14)/12)))</f>
        <v>0</v>
      </c>
      <c r="O159" s="1" t="n">
        <f aca="false">SUM(F159:N159)</f>
        <v>45.7205548264532</v>
      </c>
      <c r="P159" s="1" t="n">
        <f aca="false">O159/12</f>
        <v>3.81004623553776</v>
      </c>
      <c r="Q159" s="1" t="n">
        <f aca="false">P159*$B$8</f>
        <v>0.381004623553776</v>
      </c>
      <c r="R159" s="1" t="n">
        <f aca="false">P159*$B$9</f>
        <v>0.190502311776888</v>
      </c>
      <c r="S159" s="1" t="n">
        <f aca="false">P159*$B$10</f>
        <v>0.228602774132266</v>
      </c>
      <c r="T159" s="1" t="n">
        <f aca="false">P159-Q159-R159-S159-D159-E159</f>
        <v>2.37351985940817</v>
      </c>
      <c r="U159" s="1" t="n">
        <f aca="false">MAX(0, T159 - $B$7*P159)</f>
        <v>0</v>
      </c>
      <c r="V159" s="1" t="n">
        <f aca="false">T159-U159</f>
        <v>2.37351985940817</v>
      </c>
      <c r="W159" s="1" t="n">
        <f aca="false"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>0</v>
      </c>
      <c r="X159" s="1" t="n">
        <f aca="false">V159-W159-C159</f>
        <v>2.37351985940817</v>
      </c>
      <c r="Y159" s="1" t="n">
        <f aca="false">IF(AND(A159&lt;=$F$10, X159&gt;0), X159*$B$23, 0)</f>
        <v>0</v>
      </c>
      <c r="Z159" s="1" t="n">
        <f aca="false">X159-Y159+IF(A159=$F$10+1, MAX(0, SUM(INDEX(Y:Y,31):INDEX(Y:Y,30+$F$10)) - ('1. Press Assumptions'!$D$93*'1. Press Assumptions'!$E$93 - '1. Press Assumptions'!$D$93*0.1154*0.5)), 0)</f>
        <v>2.37351985940817</v>
      </c>
      <c r="AA159" s="1" t="n">
        <f aca="false">IF(AND(A159=$B$19, $B$21=1), O159*$B$20, 0)</f>
        <v>0</v>
      </c>
      <c r="AB159" s="1" t="n">
        <f aca="false">AB158+Z159+AA159</f>
        <v>412.849152730111</v>
      </c>
    </row>
    <row r="160" customFormat="false" ht="15" hidden="false" customHeight="true" outlineLevel="0" collapsed="false">
      <c r="A160" s="1" t="n">
        <v>130</v>
      </c>
      <c r="B160" s="1" t="n">
        <f aca="false">CEILING(A160/12,1)</f>
        <v>11</v>
      </c>
      <c r="C160" s="1" t="n">
        <f aca="false">IF(A160&lt;=18, $B$15/12, 0)</f>
        <v>0</v>
      </c>
      <c r="D160" s="1" t="n">
        <f aca="false">INDEX('26. Team Comp'!$D$28:$R$28, B160) * 0.001 / 12</f>
        <v>0.636416666666667</v>
      </c>
      <c r="E160" s="1" t="n">
        <f aca="false"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>0</v>
      </c>
      <c r="F160" s="1" t="n">
        <f aca="false">IF(A160&lt;$F$6, 0, IF(AND($B$21=1, A160&gt;$B$19), 0, $E$6 * $G$6^((A160-$F$6)/12)))</f>
        <v>14.5894145334921</v>
      </c>
      <c r="G160" s="1" t="n">
        <f aca="false">IF(A160&lt;$F$7, 0, IF(AND($B$21=1, A160&gt;$B$19), 0, $E$7 * $G$7^((A160-$F$7)/12)))</f>
        <v>8.56522655213582</v>
      </c>
      <c r="H160" s="1" t="n">
        <f aca="false">IF(A160&lt;$F$8, 0, IF(AND($B$21=1, A160&gt;$B$19), 0, $E$8 * $G$8^((A160-$F$8)/12)))</f>
        <v>5.05699795718599</v>
      </c>
      <c r="I160" s="1" t="n">
        <f aca="false">IF(A160&lt;$F$9, 0, IF(AND($B$21=1, A160&gt;$B$19), 0, $E$9 * $G$9^((A160-$F$9)/12)))</f>
        <v>5.33850683330102</v>
      </c>
      <c r="J160" s="1" t="n">
        <f aca="false">IF(A160&lt;$F$10, 0, IF(AND($B$21=1, A160&gt;$B$19), 0, $E$10 * $G$10^((A160-$F$10)/12)))</f>
        <v>11.8399158290522</v>
      </c>
      <c r="K160" s="1" t="n">
        <f aca="false">IF(A160&lt;$F$11, 0, IF(AND($B$21=1, A160&gt;$B$19), 0, $E$11 * $G$11^((A160-$F$11)/12)))</f>
        <v>0</v>
      </c>
      <c r="L160" s="1" t="n">
        <f aca="false">IF(A160&lt;$F$12, 0, IF(AND($B$21=1, A160&gt;$B$19), 0, $E$12 * $G$12^((A160-$F$12)/12)))</f>
        <v>0</v>
      </c>
      <c r="M160" s="1" t="n">
        <f aca="false">IF(A160&lt;$F$13, 0, IF(AND($B$21=1, A160&gt;$B$19), 0, $E$13 * $G$13^((A160-$F$13)/12)))</f>
        <v>0</v>
      </c>
      <c r="N160" s="1" t="n">
        <f aca="false">IF(A160&lt;$F$14, 0, IF(AND($B$21=1, A160&gt;$B$19), 0, $E$14 * $G$14^((A160-$F$14)/12)))</f>
        <v>0</v>
      </c>
      <c r="O160" s="1" t="n">
        <f aca="false">SUM(F160:N160)</f>
        <v>45.3900617051672</v>
      </c>
      <c r="P160" s="1" t="n">
        <f aca="false">O160/12</f>
        <v>3.78250514209726</v>
      </c>
      <c r="Q160" s="1" t="n">
        <f aca="false">P160*$B$8</f>
        <v>0.378250514209726</v>
      </c>
      <c r="R160" s="1" t="n">
        <f aca="false">P160*$B$9</f>
        <v>0.189125257104863</v>
      </c>
      <c r="S160" s="1" t="n">
        <f aca="false">P160*$B$10</f>
        <v>0.226950308525836</v>
      </c>
      <c r="T160" s="1" t="n">
        <f aca="false">P160-Q160-R160-S160-D160-E160</f>
        <v>2.35176239559017</v>
      </c>
      <c r="U160" s="1" t="n">
        <f aca="false">MAX(0, T160 - $B$7*P160)</f>
        <v>0</v>
      </c>
      <c r="V160" s="1" t="n">
        <f aca="false">T160-U160</f>
        <v>2.35176239559017</v>
      </c>
      <c r="W160" s="1" t="n">
        <f aca="false"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>0</v>
      </c>
      <c r="X160" s="1" t="n">
        <f aca="false">V160-W160-C160</f>
        <v>2.35176239559017</v>
      </c>
      <c r="Y160" s="1" t="n">
        <f aca="false">IF(AND(A160&lt;=$F$10, X160&gt;0), X160*$B$23, 0)</f>
        <v>0</v>
      </c>
      <c r="Z160" s="1" t="n">
        <f aca="false">X160-Y160+IF(A160=$F$10+1, MAX(0, SUM(INDEX(Y:Y,31):INDEX(Y:Y,30+$F$10)) - ('1. Press Assumptions'!$D$93*'1. Press Assumptions'!$E$93 - '1. Press Assumptions'!$D$93*0.1154*0.5)), 0)</f>
        <v>2.35176239559017</v>
      </c>
      <c r="AA160" s="1" t="n">
        <f aca="false">IF(AND(A160=$B$19, $B$21=1), O160*$B$20, 0)</f>
        <v>0</v>
      </c>
      <c r="AB160" s="1" t="n">
        <f aca="false">AB159+Z160+AA160</f>
        <v>415.200915125701</v>
      </c>
    </row>
    <row r="161" customFormat="false" ht="15" hidden="false" customHeight="true" outlineLevel="0" collapsed="false">
      <c r="A161" s="1" t="n">
        <v>131</v>
      </c>
      <c r="B161" s="1" t="n">
        <f aca="false">CEILING(A161/12,1)</f>
        <v>11</v>
      </c>
      <c r="C161" s="1" t="n">
        <f aca="false">IF(A161&lt;=18, $B$15/12, 0)</f>
        <v>0</v>
      </c>
      <c r="D161" s="1" t="n">
        <f aca="false">INDEX('26. Team Comp'!$D$28:$R$28, B161) * 0.001 / 12</f>
        <v>0.636416666666667</v>
      </c>
      <c r="E161" s="1" t="n">
        <f aca="false"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>0</v>
      </c>
      <c r="F161" s="1" t="n">
        <f aca="false">IF(A161&lt;$F$6, 0, IF(AND($B$21=1, A161&gt;$B$19), 0, $E$6 * $G$6^((A161-$F$6)/12)))</f>
        <v>14.5271860297288</v>
      </c>
      <c r="G161" s="1" t="n">
        <f aca="false">IF(A161&lt;$F$7, 0, IF(AND($B$21=1, A161&gt;$B$19), 0, $E$7 * $G$7^((A161-$F$7)/12)))</f>
        <v>8.49035267387821</v>
      </c>
      <c r="H161" s="1" t="n">
        <f aca="false">IF(A161&lt;$F$8, 0, IF(AND($B$21=1, A161&gt;$B$19), 0, $E$8 * $G$8^((A161-$F$8)/12)))</f>
        <v>4.9889714886268</v>
      </c>
      <c r="I161" s="1" t="n">
        <f aca="false">IF(A161&lt;$F$9, 0, IF(AND($B$21=1, A161&gt;$B$19), 0, $E$9 * $G$9^((A161-$F$9)/12)))</f>
        <v>5.26669352225696</v>
      </c>
      <c r="J161" s="1" t="n">
        <f aca="false">IF(A161&lt;$F$10, 0, IF(AND($B$21=1, A161&gt;$B$19), 0, $E$10 * $G$10^((A161-$F$10)/12)))</f>
        <v>11.7894148137418</v>
      </c>
      <c r="K161" s="1" t="n">
        <f aca="false">IF(A161&lt;$F$11, 0, IF(AND($B$21=1, A161&gt;$B$19), 0, $E$11 * $G$11^((A161-$F$11)/12)))</f>
        <v>0</v>
      </c>
      <c r="L161" s="1" t="n">
        <f aca="false">IF(A161&lt;$F$12, 0, IF(AND($B$21=1, A161&gt;$B$19), 0, $E$12 * $G$12^((A161-$F$12)/12)))</f>
        <v>0</v>
      </c>
      <c r="M161" s="1" t="n">
        <f aca="false">IF(A161&lt;$F$13, 0, IF(AND($B$21=1, A161&gt;$B$19), 0, $E$13 * $G$13^((A161-$F$13)/12)))</f>
        <v>0</v>
      </c>
      <c r="N161" s="1" t="n">
        <f aca="false">IF(A161&lt;$F$14, 0, IF(AND($B$21=1, A161&gt;$B$19), 0, $E$14 * $G$14^((A161-$F$14)/12)))</f>
        <v>0</v>
      </c>
      <c r="O161" s="1" t="n">
        <f aca="false">SUM(F161:N161)</f>
        <v>45.0626185282326</v>
      </c>
      <c r="P161" s="1" t="n">
        <f aca="false">O161/12</f>
        <v>3.75521821068605</v>
      </c>
      <c r="Q161" s="1" t="n">
        <f aca="false">P161*$B$8</f>
        <v>0.375521821068605</v>
      </c>
      <c r="R161" s="1" t="n">
        <f aca="false">P161*$B$9</f>
        <v>0.187760910534302</v>
      </c>
      <c r="S161" s="1" t="n">
        <f aca="false">P161*$B$10</f>
        <v>0.225313092641163</v>
      </c>
      <c r="T161" s="1" t="n">
        <f aca="false">P161-Q161-R161-S161-D161-E161</f>
        <v>2.33020571977531</v>
      </c>
      <c r="U161" s="1" t="n">
        <f aca="false">MAX(0, T161 - $B$7*P161)</f>
        <v>0</v>
      </c>
      <c r="V161" s="1" t="n">
        <f aca="false">T161-U161</f>
        <v>2.33020571977531</v>
      </c>
      <c r="W161" s="1" t="n">
        <f aca="false"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>0</v>
      </c>
      <c r="X161" s="1" t="n">
        <f aca="false">V161-W161-C161</f>
        <v>2.33020571977531</v>
      </c>
      <c r="Y161" s="1" t="n">
        <f aca="false">IF(AND(A161&lt;=$F$10, X161&gt;0), X161*$B$23, 0)</f>
        <v>0</v>
      </c>
      <c r="Z161" s="1" t="n">
        <f aca="false">X161-Y161+IF(A161=$F$10+1, MAX(0, SUM(INDEX(Y:Y,31):INDEX(Y:Y,30+$F$10)) - ('1. Press Assumptions'!$D$93*'1. Press Assumptions'!$E$93 - '1. Press Assumptions'!$D$93*0.1154*0.5)), 0)</f>
        <v>2.33020571977531</v>
      </c>
      <c r="AA161" s="1" t="n">
        <f aca="false">IF(AND(A161=$B$19, $B$21=1), O161*$B$20, 0)</f>
        <v>0</v>
      </c>
      <c r="AB161" s="1" t="n">
        <f aca="false">AB160+Z161+AA161</f>
        <v>417.531120845476</v>
      </c>
    </row>
    <row r="162" customFormat="false" ht="15" hidden="false" customHeight="true" outlineLevel="0" collapsed="false">
      <c r="A162" s="1" t="n">
        <v>132</v>
      </c>
      <c r="B162" s="1" t="n">
        <f aca="false">CEILING(A162/12,1)</f>
        <v>11</v>
      </c>
      <c r="C162" s="1" t="n">
        <f aca="false">IF(A162&lt;=18, $B$15/12, 0)</f>
        <v>0</v>
      </c>
      <c r="D162" s="1" t="n">
        <f aca="false">INDEX('26. Team Comp'!$D$28:$R$28, B162) * 0.001 / 12</f>
        <v>0.636416666666667</v>
      </c>
      <c r="E162" s="1" t="n">
        <f aca="false"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>0</v>
      </c>
      <c r="F162" s="1" t="n">
        <f aca="false">IF(A162&lt;$F$6, 0, IF(AND($B$21=1, A162&gt;$B$19), 0, $E$6 * $G$6^((A162-$F$6)/12)))</f>
        <v>14.4652229503711</v>
      </c>
      <c r="G162" s="1" t="n">
        <f aca="false">IF(A162&lt;$F$7, 0, IF(AND($B$21=1, A162&gt;$B$19), 0, $E$7 * $G$7^((A162-$F$7)/12)))</f>
        <v>8.416133313935</v>
      </c>
      <c r="H162" s="1" t="n">
        <f aca="false">IF(A162&lt;$F$8, 0, IF(AND($B$21=1, A162&gt;$B$19), 0, $E$8 * $G$8^((A162-$F$8)/12)))</f>
        <v>4.92186010851806</v>
      </c>
      <c r="I162" s="1" t="n">
        <f aca="false">IF(A162&lt;$F$9, 0, IF(AND($B$21=1, A162&gt;$B$19), 0, $E$9 * $G$9^((A162-$F$9)/12)))</f>
        <v>5.1958462400678</v>
      </c>
      <c r="J162" s="1" t="n">
        <f aca="false">IF(A162&lt;$F$10, 0, IF(AND($B$21=1, A162&gt;$B$19), 0, $E$10 * $G$10^((A162-$F$10)/12)))</f>
        <v>11.7391292013603</v>
      </c>
      <c r="K162" s="1" t="n">
        <f aca="false">IF(A162&lt;$F$11, 0, IF(AND($B$21=1, A162&gt;$B$19), 0, $E$11 * $G$11^((A162-$F$11)/12)))</f>
        <v>0</v>
      </c>
      <c r="L162" s="1" t="n">
        <f aca="false">IF(A162&lt;$F$12, 0, IF(AND($B$21=1, A162&gt;$B$19), 0, $E$12 * $G$12^((A162-$F$12)/12)))</f>
        <v>0</v>
      </c>
      <c r="M162" s="1" t="n">
        <f aca="false">IF(A162&lt;$F$13, 0, IF(AND($B$21=1, A162&gt;$B$19), 0, $E$13 * $G$13^((A162-$F$13)/12)))</f>
        <v>0</v>
      </c>
      <c r="N162" s="1" t="n">
        <f aca="false">IF(A162&lt;$F$14, 0, IF(AND($B$21=1, A162&gt;$B$19), 0, $E$14 * $G$14^((A162-$F$14)/12)))</f>
        <v>0</v>
      </c>
      <c r="O162" s="1" t="n">
        <f aca="false">SUM(F162:N162)</f>
        <v>44.7381918142523</v>
      </c>
      <c r="P162" s="1" t="n">
        <f aca="false">O162/12</f>
        <v>3.72818265118769</v>
      </c>
      <c r="Q162" s="1" t="n">
        <f aca="false">P162*$B$8</f>
        <v>0.372818265118769</v>
      </c>
      <c r="R162" s="1" t="n">
        <f aca="false">P162*$B$9</f>
        <v>0.186409132559384</v>
      </c>
      <c r="S162" s="1" t="n">
        <f aca="false">P162*$B$10</f>
        <v>0.223690959071261</v>
      </c>
      <c r="T162" s="1" t="n">
        <f aca="false">P162-Q162-R162-S162-D162-E162</f>
        <v>2.30884762777161</v>
      </c>
      <c r="U162" s="1" t="n">
        <f aca="false">MAX(0, T162 - $B$7*P162)</f>
        <v>0</v>
      </c>
      <c r="V162" s="1" t="n">
        <f aca="false">T162-U162</f>
        <v>2.30884762777161</v>
      </c>
      <c r="W162" s="1" t="n">
        <f aca="false"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>0</v>
      </c>
      <c r="X162" s="1" t="n">
        <f aca="false">V162-W162-C162</f>
        <v>2.30884762777161</v>
      </c>
      <c r="Y162" s="1" t="n">
        <f aca="false">IF(AND(A162&lt;=$F$10, X162&gt;0), X162*$B$23, 0)</f>
        <v>0</v>
      </c>
      <c r="Z162" s="1" t="n">
        <f aca="false">X162-Y162+IF(A162=$F$10+1, MAX(0, SUM(INDEX(Y:Y,31):INDEX(Y:Y,30+$F$10)) - ('1. Press Assumptions'!$D$93*'1. Press Assumptions'!$E$93 - '1. Press Assumptions'!$D$93*0.1154*0.5)), 0)</f>
        <v>2.30884762777161</v>
      </c>
      <c r="AA162" s="1" t="n">
        <f aca="false">IF(AND(A162=$B$19, $B$21=1), O162*$B$20, 0)</f>
        <v>0</v>
      </c>
      <c r="AB162" s="1" t="n">
        <f aca="false">AB161+Z162+AA162</f>
        <v>419.839968473248</v>
      </c>
    </row>
    <row r="163" customFormat="false" ht="15" hidden="false" customHeight="true" outlineLevel="0" collapsed="false">
      <c r="A163" s="1" t="n">
        <v>133</v>
      </c>
      <c r="B163" s="1" t="n">
        <f aca="false">CEILING(A163/12,1)</f>
        <v>12</v>
      </c>
      <c r="C163" s="1" t="n">
        <f aca="false">IF(A163&lt;=18, $B$15/12, 0)</f>
        <v>0</v>
      </c>
      <c r="D163" s="1" t="n">
        <f aca="false">INDEX('26. Team Comp'!$D$28:$R$28, B163) * 0.001 / 12</f>
        <v>0.636416666666667</v>
      </c>
      <c r="E163" s="1" t="n">
        <f aca="false"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>0</v>
      </c>
      <c r="F163" s="1" t="n">
        <f aca="false">IF(A163&lt;$F$6, 0, IF(AND($B$21=1, A163&gt;$B$19), 0, $E$6 * $G$6^((A163-$F$6)/12)))</f>
        <v>14.4035241632993</v>
      </c>
      <c r="G163" s="1" t="n">
        <f aca="false">IF(A163&lt;$F$7, 0, IF(AND($B$21=1, A163&gt;$B$19), 0, $E$7 * $G$7^((A163-$F$7)/12)))</f>
        <v>8.34256275076172</v>
      </c>
      <c r="H163" s="1" t="n">
        <f aca="false">IF(A163&lt;$F$8, 0, IF(AND($B$21=1, A163&gt;$B$19), 0, $E$8 * $G$8^((A163-$F$8)/12)))</f>
        <v>4.85565150713845</v>
      </c>
      <c r="I163" s="1" t="n">
        <f aca="false">IF(A163&lt;$F$9, 0, IF(AND($B$21=1, A163&gt;$B$19), 0, $E$9 * $G$9^((A163-$F$9)/12)))</f>
        <v>5.12595199176459</v>
      </c>
      <c r="J163" s="1" t="n">
        <f aca="false">IF(A163&lt;$F$10, 0, IF(AND($B$21=1, A163&gt;$B$19), 0, $E$10 * $G$10^((A163-$F$10)/12)))</f>
        <v>11.6890580731455</v>
      </c>
      <c r="K163" s="1" t="n">
        <f aca="false">IF(A163&lt;$F$11, 0, IF(AND($B$21=1, A163&gt;$B$19), 0, $E$11 * $G$11^((A163-$F$11)/12)))</f>
        <v>0</v>
      </c>
      <c r="L163" s="1" t="n">
        <f aca="false">IF(A163&lt;$F$12, 0, IF(AND($B$21=1, A163&gt;$B$19), 0, $E$12 * $G$12^((A163-$F$12)/12)))</f>
        <v>0</v>
      </c>
      <c r="M163" s="1" t="n">
        <f aca="false">IF(A163&lt;$F$13, 0, IF(AND($B$21=1, A163&gt;$B$19), 0, $E$13 * $G$13^((A163-$F$13)/12)))</f>
        <v>0</v>
      </c>
      <c r="N163" s="1" t="n">
        <f aca="false">IF(A163&lt;$F$14, 0, IF(AND($B$21=1, A163&gt;$B$19), 0, $E$14 * $G$14^((A163-$F$14)/12)))</f>
        <v>0</v>
      </c>
      <c r="O163" s="1" t="n">
        <f aca="false">SUM(F163:N163)</f>
        <v>44.4167484861096</v>
      </c>
      <c r="P163" s="1" t="n">
        <f aca="false">O163/12</f>
        <v>3.7013957071758</v>
      </c>
      <c r="Q163" s="1" t="n">
        <f aca="false">P163*$B$8</f>
        <v>0.37013957071758</v>
      </c>
      <c r="R163" s="1" t="n">
        <f aca="false">P163*$B$9</f>
        <v>0.18506978535879</v>
      </c>
      <c r="S163" s="1" t="n">
        <f aca="false">P163*$B$10</f>
        <v>0.222083742430548</v>
      </c>
      <c r="T163" s="1" t="n">
        <f aca="false">P163-Q163-R163-S163-D163-E163</f>
        <v>2.28768594200221</v>
      </c>
      <c r="U163" s="1" t="n">
        <f aca="false">MAX(0, T163 - $B$7*P163)</f>
        <v>0</v>
      </c>
      <c r="V163" s="1" t="n">
        <f aca="false">T163-U163</f>
        <v>2.28768594200221</v>
      </c>
      <c r="W163" s="1" t="n">
        <f aca="false"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>0</v>
      </c>
      <c r="X163" s="1" t="n">
        <f aca="false">V163-W163-C163</f>
        <v>2.28768594200221</v>
      </c>
      <c r="Y163" s="1" t="n">
        <f aca="false">IF(AND(A163&lt;=$F$10, X163&gt;0), X163*$B$23, 0)</f>
        <v>0</v>
      </c>
      <c r="Z163" s="1" t="n">
        <f aca="false">X163-Y163+IF(A163=$F$10+1, MAX(0, SUM(INDEX(Y:Y,31):INDEX(Y:Y,30+$F$10)) - ('1. Press Assumptions'!$D$93*'1. Press Assumptions'!$E$93 - '1. Press Assumptions'!$D$93*0.1154*0.5)), 0)</f>
        <v>2.28768594200221</v>
      </c>
      <c r="AA163" s="1" t="n">
        <f aca="false">IF(AND(A163=$B$19, $B$21=1), O163*$B$20, 0)</f>
        <v>0</v>
      </c>
      <c r="AB163" s="1" t="n">
        <f aca="false">AB162+Z163+AA163</f>
        <v>422.12765441525</v>
      </c>
    </row>
    <row r="164" customFormat="false" ht="15" hidden="false" customHeight="true" outlineLevel="0" collapsed="false">
      <c r="A164" s="1" t="n">
        <v>134</v>
      </c>
      <c r="B164" s="1" t="n">
        <f aca="false">CEILING(A164/12,1)</f>
        <v>12</v>
      </c>
      <c r="C164" s="1" t="n">
        <f aca="false">IF(A164&lt;=18, $B$15/12, 0)</f>
        <v>0</v>
      </c>
      <c r="D164" s="1" t="n">
        <f aca="false">INDEX('26. Team Comp'!$D$28:$R$28, B164) * 0.001 / 12</f>
        <v>0.636416666666667</v>
      </c>
      <c r="E164" s="1" t="n">
        <f aca="false"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>0</v>
      </c>
      <c r="F164" s="1" t="n">
        <f aca="false">IF(A164&lt;$F$6, 0, IF(AND($B$21=1, A164&gt;$B$19), 0, $E$6 * $G$6^((A164-$F$6)/12)))</f>
        <v>14.3420885412225</v>
      </c>
      <c r="G164" s="1" t="n">
        <f aca="false">IF(A164&lt;$F$7, 0, IF(AND($B$21=1, A164&gt;$B$19), 0, $E$7 * $G$7^((A164-$F$7)/12)))</f>
        <v>8.26963531282942</v>
      </c>
      <c r="H164" s="1" t="n">
        <f aca="false">IF(A164&lt;$F$8, 0, IF(AND($B$21=1, A164&gt;$B$19), 0, $E$8 * $G$8^((A164-$F$8)/12)))</f>
        <v>4.79033354035632</v>
      </c>
      <c r="I164" s="1" t="n">
        <f aca="false">IF(A164&lt;$F$9, 0, IF(AND($B$21=1, A164&gt;$B$19), 0, $E$9 * $G$9^((A164-$F$9)/12)))</f>
        <v>5.05699795718599</v>
      </c>
      <c r="J164" s="1" t="n">
        <f aca="false">IF(A164&lt;$F$10, 0, IF(AND($B$21=1, A164&gt;$B$19), 0, $E$10 * $G$10^((A164-$F$10)/12)))</f>
        <v>11.6392005142541</v>
      </c>
      <c r="K164" s="1" t="n">
        <f aca="false">IF(A164&lt;$F$11, 0, IF(AND($B$21=1, A164&gt;$B$19), 0, $E$11 * $G$11^((A164-$F$11)/12)))</f>
        <v>0</v>
      </c>
      <c r="L164" s="1" t="n">
        <f aca="false">IF(A164&lt;$F$12, 0, IF(AND($B$21=1, A164&gt;$B$19), 0, $E$12 * $G$12^((A164-$F$12)/12)))</f>
        <v>0</v>
      </c>
      <c r="M164" s="1" t="n">
        <f aca="false">IF(A164&lt;$F$13, 0, IF(AND($B$21=1, A164&gt;$B$19), 0, $E$13 * $G$13^((A164-$F$13)/12)))</f>
        <v>0</v>
      </c>
      <c r="N164" s="1" t="n">
        <f aca="false">IF(A164&lt;$F$14, 0, IF(AND($B$21=1, A164&gt;$B$19), 0, $E$14 * $G$14^((A164-$F$14)/12)))</f>
        <v>0</v>
      </c>
      <c r="O164" s="1" t="n">
        <f aca="false">SUM(F164:N164)</f>
        <v>44.0982558658484</v>
      </c>
      <c r="P164" s="1" t="n">
        <f aca="false">O164/12</f>
        <v>3.67485465548736</v>
      </c>
      <c r="Q164" s="1" t="n">
        <f aca="false">P164*$B$8</f>
        <v>0.367485465548736</v>
      </c>
      <c r="R164" s="1" t="n">
        <f aca="false">P164*$B$9</f>
        <v>0.183742732774368</v>
      </c>
      <c r="S164" s="1" t="n">
        <f aca="false">P164*$B$10</f>
        <v>0.220491279329242</v>
      </c>
      <c r="T164" s="1" t="n">
        <f aca="false">P164-Q164-R164-S164-D164-E164</f>
        <v>2.26671851116835</v>
      </c>
      <c r="U164" s="1" t="n">
        <f aca="false">MAX(0, T164 - $B$7*P164)</f>
        <v>0</v>
      </c>
      <c r="V164" s="1" t="n">
        <f aca="false">T164-U164</f>
        <v>2.26671851116835</v>
      </c>
      <c r="W164" s="1" t="n">
        <f aca="false"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>0</v>
      </c>
      <c r="X164" s="1" t="n">
        <f aca="false">V164-W164-C164</f>
        <v>2.26671851116835</v>
      </c>
      <c r="Y164" s="1" t="n">
        <f aca="false">IF(AND(A164&lt;=$F$10, X164&gt;0), X164*$B$23, 0)</f>
        <v>0</v>
      </c>
      <c r="Z164" s="1" t="n">
        <f aca="false">X164-Y164+IF(A164=$F$10+1, MAX(0, SUM(INDEX(Y:Y,31):INDEX(Y:Y,30+$F$10)) - ('1. Press Assumptions'!$D$93*'1. Press Assumptions'!$E$93 - '1. Press Assumptions'!$D$93*0.1154*0.5)), 0)</f>
        <v>2.26671851116835</v>
      </c>
      <c r="AA164" s="1" t="n">
        <f aca="false">IF(AND(A164=$B$19, $B$21=1), O164*$B$20, 0)</f>
        <v>0</v>
      </c>
      <c r="AB164" s="1" t="n">
        <f aca="false">AB163+Z164+AA164</f>
        <v>424.394372926418</v>
      </c>
    </row>
    <row r="165" customFormat="false" ht="15" hidden="false" customHeight="true" outlineLevel="0" collapsed="false">
      <c r="A165" s="1" t="n">
        <v>135</v>
      </c>
      <c r="B165" s="1" t="n">
        <f aca="false">CEILING(A165/12,1)</f>
        <v>12</v>
      </c>
      <c r="C165" s="1" t="n">
        <f aca="false">IF(A165&lt;=18, $B$15/12, 0)</f>
        <v>0</v>
      </c>
      <c r="D165" s="1" t="n">
        <f aca="false">INDEX('26. Team Comp'!$D$28:$R$28, B165) * 0.001 / 12</f>
        <v>0.636416666666667</v>
      </c>
      <c r="E165" s="1" t="n">
        <f aca="false"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>0</v>
      </c>
      <c r="F165" s="1" t="n">
        <f aca="false">IF(A165&lt;$F$6, 0, IF(AND($B$21=1, A165&gt;$B$19), 0, $E$6 * $G$6^((A165-$F$6)/12)))</f>
        <v>14.2809149616582</v>
      </c>
      <c r="G165" s="1" t="n">
        <f aca="false">IF(A165&lt;$F$7, 0, IF(AND($B$21=1, A165&gt;$B$19), 0, $E$7 * $G$7^((A165-$F$7)/12)))</f>
        <v>8.19734537818744</v>
      </c>
      <c r="H165" s="1" t="n">
        <f aca="false">IF(A165&lt;$F$8, 0, IF(AND($B$21=1, A165&gt;$B$19), 0, $E$8 * $G$8^((A165-$F$8)/12)))</f>
        <v>4.72589422740227</v>
      </c>
      <c r="I165" s="1" t="n">
        <f aca="false">IF(A165&lt;$F$9, 0, IF(AND($B$21=1, A165&gt;$B$19), 0, $E$9 * $G$9^((A165-$F$9)/12)))</f>
        <v>4.9889714886268</v>
      </c>
      <c r="J165" s="1" t="n">
        <f aca="false">IF(A165&lt;$F$10, 0, IF(AND($B$21=1, A165&gt;$B$19), 0, $E$10 * $G$10^((A165-$F$10)/12)))</f>
        <v>11.5895556137449</v>
      </c>
      <c r="K165" s="1" t="n">
        <f aca="false">IF(A165&lt;$F$11, 0, IF(AND($B$21=1, A165&gt;$B$19), 0, $E$11 * $G$11^((A165-$F$11)/12)))</f>
        <v>0</v>
      </c>
      <c r="L165" s="1" t="n">
        <f aca="false">IF(A165&lt;$F$12, 0, IF(AND($B$21=1, A165&gt;$B$19), 0, $E$12 * $G$12^((A165-$F$12)/12)))</f>
        <v>0</v>
      </c>
      <c r="M165" s="1" t="n">
        <f aca="false">IF(A165&lt;$F$13, 0, IF(AND($B$21=1, A165&gt;$B$19), 0, $E$13 * $G$13^((A165-$F$13)/12)))</f>
        <v>0</v>
      </c>
      <c r="N165" s="1" t="n">
        <f aca="false">IF(A165&lt;$F$14, 0, IF(AND($B$21=1, A165&gt;$B$19), 0, $E$14 * $G$14^((A165-$F$14)/12)))</f>
        <v>0</v>
      </c>
      <c r="O165" s="1" t="n">
        <f aca="false">SUM(F165:N165)</f>
        <v>43.7826816696196</v>
      </c>
      <c r="P165" s="1" t="n">
        <f aca="false">O165/12</f>
        <v>3.64855680580163</v>
      </c>
      <c r="Q165" s="1" t="n">
        <f aca="false">P165*$B$8</f>
        <v>0.364855680580163</v>
      </c>
      <c r="R165" s="1" t="n">
        <f aca="false">P165*$B$9</f>
        <v>0.182427840290082</v>
      </c>
      <c r="S165" s="1" t="n">
        <f aca="false">P165*$B$10</f>
        <v>0.218913408348098</v>
      </c>
      <c r="T165" s="1" t="n">
        <f aca="false">P165-Q165-R165-S165-D165-E165</f>
        <v>2.24594320991662</v>
      </c>
      <c r="U165" s="1" t="n">
        <f aca="false">MAX(0, T165 - $B$7*P165)</f>
        <v>0</v>
      </c>
      <c r="V165" s="1" t="n">
        <f aca="false">T165-U165</f>
        <v>2.24594320991662</v>
      </c>
      <c r="W165" s="1" t="n">
        <f aca="false"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>0</v>
      </c>
      <c r="X165" s="1" t="n">
        <f aca="false">V165-W165-C165</f>
        <v>2.24594320991662</v>
      </c>
      <c r="Y165" s="1" t="n">
        <f aca="false">IF(AND(A165&lt;=$F$10, X165&gt;0), X165*$B$23, 0)</f>
        <v>0</v>
      </c>
      <c r="Z165" s="1" t="n">
        <f aca="false">X165-Y165+IF(A165=$F$10+1, MAX(0, SUM(INDEX(Y:Y,31):INDEX(Y:Y,30+$F$10)) - ('1. Press Assumptions'!$D$93*'1. Press Assumptions'!$E$93 - '1. Press Assumptions'!$D$93*0.1154*0.5)), 0)</f>
        <v>2.24594320991662</v>
      </c>
      <c r="AA165" s="1" t="n">
        <f aca="false">IF(AND(A165=$B$19, $B$21=1), O165*$B$20, 0)</f>
        <v>0</v>
      </c>
      <c r="AB165" s="1" t="n">
        <f aca="false">AB164+Z165+AA165</f>
        <v>426.640316136335</v>
      </c>
    </row>
    <row r="166" customFormat="false" ht="15" hidden="false" customHeight="true" outlineLevel="0" collapsed="false">
      <c r="A166" s="1" t="n">
        <v>136</v>
      </c>
      <c r="B166" s="1" t="n">
        <f aca="false">CEILING(A166/12,1)</f>
        <v>12</v>
      </c>
      <c r="C166" s="1" t="n">
        <f aca="false">IF(A166&lt;=18, $B$15/12, 0)</f>
        <v>0</v>
      </c>
      <c r="D166" s="1" t="n">
        <f aca="false">INDEX('26. Team Comp'!$D$28:$R$28, B166) * 0.001 / 12</f>
        <v>0.636416666666667</v>
      </c>
      <c r="E166" s="1" t="n">
        <f aca="false"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>0</v>
      </c>
      <c r="F166" s="1" t="n">
        <f aca="false">IF(A166&lt;$F$6, 0, IF(AND($B$21=1, A166&gt;$B$19), 0, $E$6 * $G$6^((A166-$F$6)/12)))</f>
        <v>14.2200023069115</v>
      </c>
      <c r="G166" s="1" t="n">
        <f aca="false">IF(A166&lt;$F$7, 0, IF(AND($B$21=1, A166&gt;$B$19), 0, $E$7 * $G$7^((A166-$F$7)/12)))</f>
        <v>8.12568737403004</v>
      </c>
      <c r="H166" s="1" t="n">
        <f aca="false">IF(A166&lt;$F$8, 0, IF(AND($B$21=1, A166&gt;$B$19), 0, $E$8 * $G$8^((A166-$F$8)/12)))</f>
        <v>4.66232174867156</v>
      </c>
      <c r="I166" s="1" t="n">
        <f aca="false">IF(A166&lt;$F$9, 0, IF(AND($B$21=1, A166&gt;$B$19), 0, $E$9 * $G$9^((A166-$F$9)/12)))</f>
        <v>4.92186010851806</v>
      </c>
      <c r="J166" s="1" t="n">
        <f aca="false">IF(A166&lt;$F$10, 0, IF(AND($B$21=1, A166&gt;$B$19), 0, $E$10 * $G$10^((A166-$F$10)/12)))</f>
        <v>11.540122464562</v>
      </c>
      <c r="K166" s="1" t="n">
        <f aca="false">IF(A166&lt;$F$11, 0, IF(AND($B$21=1, A166&gt;$B$19), 0, $E$11 * $G$11^((A166-$F$11)/12)))</f>
        <v>0</v>
      </c>
      <c r="L166" s="1" t="n">
        <f aca="false">IF(A166&lt;$F$12, 0, IF(AND($B$21=1, A166&gt;$B$19), 0, $E$12 * $G$12^((A166-$F$12)/12)))</f>
        <v>0</v>
      </c>
      <c r="M166" s="1" t="n">
        <f aca="false">IF(A166&lt;$F$13, 0, IF(AND($B$21=1, A166&gt;$B$19), 0, $E$13 * $G$13^((A166-$F$13)/12)))</f>
        <v>0</v>
      </c>
      <c r="N166" s="1" t="n">
        <f aca="false">IF(A166&lt;$F$14, 0, IF(AND($B$21=1, A166&gt;$B$19), 0, $E$14 * $G$14^((A166-$F$14)/12)))</f>
        <v>0</v>
      </c>
      <c r="O166" s="1" t="n">
        <f aca="false">SUM(F166:N166)</f>
        <v>43.4699940026931</v>
      </c>
      <c r="P166" s="1" t="n">
        <f aca="false">O166/12</f>
        <v>3.62249950022443</v>
      </c>
      <c r="Q166" s="1" t="n">
        <f aca="false">P166*$B$8</f>
        <v>0.362249950022443</v>
      </c>
      <c r="R166" s="1" t="n">
        <f aca="false">P166*$B$9</f>
        <v>0.181124975011221</v>
      </c>
      <c r="S166" s="1" t="n">
        <f aca="false">P166*$B$10</f>
        <v>0.217349970013466</v>
      </c>
      <c r="T166" s="1" t="n">
        <f aca="false">P166-Q166-R166-S166-D166-E166</f>
        <v>2.22535793851063</v>
      </c>
      <c r="U166" s="1" t="n">
        <f aca="false">MAX(0, T166 - $B$7*P166)</f>
        <v>0</v>
      </c>
      <c r="V166" s="1" t="n">
        <f aca="false">T166-U166</f>
        <v>2.22535793851063</v>
      </c>
      <c r="W166" s="1" t="n">
        <f aca="false"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>0</v>
      </c>
      <c r="X166" s="1" t="n">
        <f aca="false">V166-W166-C166</f>
        <v>2.22535793851063</v>
      </c>
      <c r="Y166" s="1" t="n">
        <f aca="false">IF(AND(A166&lt;=$F$10, X166&gt;0), X166*$B$23, 0)</f>
        <v>0</v>
      </c>
      <c r="Z166" s="1" t="n">
        <f aca="false">X166-Y166+IF(A166=$F$10+1, MAX(0, SUM(INDEX(Y:Y,31):INDEX(Y:Y,30+$F$10)) - ('1. Press Assumptions'!$D$93*'1. Press Assumptions'!$E$93 - '1. Press Assumptions'!$D$93*0.1154*0.5)), 0)</f>
        <v>2.22535793851063</v>
      </c>
      <c r="AA166" s="1" t="n">
        <f aca="false">IF(AND(A166=$B$19, $B$21=1), O166*$B$20, 0)</f>
        <v>0</v>
      </c>
      <c r="AB166" s="1" t="n">
        <f aca="false">AB165+Z166+AA166</f>
        <v>428.865674074846</v>
      </c>
    </row>
    <row r="167" customFormat="false" ht="15" hidden="false" customHeight="true" outlineLevel="0" collapsed="false">
      <c r="A167" s="1" t="n">
        <v>137</v>
      </c>
      <c r="B167" s="1" t="n">
        <f aca="false">CEILING(A167/12,1)</f>
        <v>12</v>
      </c>
      <c r="C167" s="1" t="n">
        <f aca="false">IF(A167&lt;=18, $B$15/12, 0)</f>
        <v>0</v>
      </c>
      <c r="D167" s="1" t="n">
        <f aca="false">INDEX('26. Team Comp'!$D$28:$R$28, B167) * 0.001 / 12</f>
        <v>0.636416666666667</v>
      </c>
      <c r="E167" s="1" t="n">
        <f aca="false"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>0</v>
      </c>
      <c r="F167" s="1" t="n">
        <f aca="false">IF(A167&lt;$F$6, 0, IF(AND($B$21=1, A167&gt;$B$19), 0, $E$6 * $G$6^((A167-$F$6)/12)))</f>
        <v>14.1593494640549</v>
      </c>
      <c r="G167" s="1" t="n">
        <f aca="false">IF(A167&lt;$F$7, 0, IF(AND($B$21=1, A167&gt;$B$19), 0, $E$7 * $G$7^((A167-$F$7)/12)))</f>
        <v>8.05465577626678</v>
      </c>
      <c r="H167" s="1" t="n">
        <f aca="false">IF(A167&lt;$F$8, 0, IF(AND($B$21=1, A167&gt;$B$19), 0, $E$8 * $G$8^((A167-$F$8)/12)))</f>
        <v>4.59960444355614</v>
      </c>
      <c r="I167" s="1" t="n">
        <f aca="false">IF(A167&lt;$F$9, 0, IF(AND($B$21=1, A167&gt;$B$19), 0, $E$9 * $G$9^((A167-$F$9)/12)))</f>
        <v>4.85565150713845</v>
      </c>
      <c r="J167" s="1" t="n">
        <f aca="false">IF(A167&lt;$F$10, 0, IF(AND($B$21=1, A167&gt;$B$19), 0, $E$10 * $G$10^((A167-$F$10)/12)))</f>
        <v>11.4909001635185</v>
      </c>
      <c r="K167" s="1" t="n">
        <f aca="false">IF(A167&lt;$F$11, 0, IF(AND($B$21=1, A167&gt;$B$19), 0, $E$11 * $G$11^((A167-$F$11)/12)))</f>
        <v>0</v>
      </c>
      <c r="L167" s="1" t="n">
        <f aca="false">IF(A167&lt;$F$12, 0, IF(AND($B$21=1, A167&gt;$B$19), 0, $E$12 * $G$12^((A167-$F$12)/12)))</f>
        <v>0</v>
      </c>
      <c r="M167" s="1" t="n">
        <f aca="false">IF(A167&lt;$F$13, 0, IF(AND($B$21=1, A167&gt;$B$19), 0, $E$13 * $G$13^((A167-$F$13)/12)))</f>
        <v>0</v>
      </c>
      <c r="N167" s="1" t="n">
        <f aca="false">IF(A167&lt;$F$14, 0, IF(AND($B$21=1, A167&gt;$B$19), 0, $E$14 * $G$14^((A167-$F$14)/12)))</f>
        <v>0</v>
      </c>
      <c r="O167" s="1" t="n">
        <f aca="false">SUM(F167:N167)</f>
        <v>43.1601613545348</v>
      </c>
      <c r="P167" s="1" t="n">
        <f aca="false">O167/12</f>
        <v>3.5966801128779</v>
      </c>
      <c r="Q167" s="1" t="n">
        <f aca="false">P167*$B$8</f>
        <v>0.35966801128779</v>
      </c>
      <c r="R167" s="1" t="n">
        <f aca="false">P167*$B$9</f>
        <v>0.179834005643895</v>
      </c>
      <c r="S167" s="1" t="n">
        <f aca="false">P167*$B$10</f>
        <v>0.215800806772674</v>
      </c>
      <c r="T167" s="1" t="n">
        <f aca="false">P167-Q167-R167-S167-D167-E167</f>
        <v>2.20496062250687</v>
      </c>
      <c r="U167" s="1" t="n">
        <f aca="false">MAX(0, T167 - $B$7*P167)</f>
        <v>0</v>
      </c>
      <c r="V167" s="1" t="n">
        <f aca="false">T167-U167</f>
        <v>2.20496062250687</v>
      </c>
      <c r="W167" s="1" t="n">
        <f aca="false"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>0</v>
      </c>
      <c r="X167" s="1" t="n">
        <f aca="false">V167-W167-C167</f>
        <v>2.20496062250687</v>
      </c>
      <c r="Y167" s="1" t="n">
        <f aca="false">IF(AND(A167&lt;=$F$10, X167&gt;0), X167*$B$23, 0)</f>
        <v>0</v>
      </c>
      <c r="Z167" s="1" t="n">
        <f aca="false">X167-Y167+IF(A167=$F$10+1, MAX(0, SUM(INDEX(Y:Y,31):INDEX(Y:Y,30+$F$10)) - ('1. Press Assumptions'!$D$93*'1. Press Assumptions'!$E$93 - '1. Press Assumptions'!$D$93*0.1154*0.5)), 0)</f>
        <v>2.20496062250687</v>
      </c>
      <c r="AA167" s="1" t="n">
        <f aca="false">IF(AND(A167=$B$19, $B$21=1), O167*$B$20, 0)</f>
        <v>0</v>
      </c>
      <c r="AB167" s="1" t="n">
        <f aca="false">AB166+Z167+AA167</f>
        <v>431.070634697352</v>
      </c>
    </row>
    <row r="168" customFormat="false" ht="15" hidden="false" customHeight="true" outlineLevel="0" collapsed="false">
      <c r="A168" s="1" t="n">
        <v>138</v>
      </c>
      <c r="B168" s="1" t="n">
        <f aca="false">CEILING(A168/12,1)</f>
        <v>12</v>
      </c>
      <c r="C168" s="1" t="n">
        <f aca="false">IF(A168&lt;=18, $B$15/12, 0)</f>
        <v>0</v>
      </c>
      <c r="D168" s="1" t="n">
        <f aca="false">INDEX('26. Team Comp'!$D$28:$R$28, B168) * 0.001 / 12</f>
        <v>0.636416666666667</v>
      </c>
      <c r="E168" s="1" t="n">
        <f aca="false"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>0</v>
      </c>
      <c r="F168" s="1" t="n">
        <f aca="false">IF(A168&lt;$F$6, 0, IF(AND($B$21=1, A168&gt;$B$19), 0, $E$6 * $G$6^((A168-$F$6)/12)))</f>
        <v>14.0989553249078</v>
      </c>
      <c r="G168" s="1" t="n">
        <f aca="false">IF(A168&lt;$F$7, 0, IF(AND($B$21=1, A168&gt;$B$19), 0, $E$7 * $G$7^((A168-$F$7)/12)))</f>
        <v>7.98424510909666</v>
      </c>
      <c r="H168" s="1" t="n">
        <f aca="false">IF(A168&lt;$F$8, 0, IF(AND($B$21=1, A168&gt;$B$19), 0, $E$8 * $G$8^((A168-$F$8)/12)))</f>
        <v>4.53773080830587</v>
      </c>
      <c r="I168" s="1" t="n">
        <f aca="false">IF(A168&lt;$F$9, 0, IF(AND($B$21=1, A168&gt;$B$19), 0, $E$9 * $G$9^((A168-$F$9)/12)))</f>
        <v>4.79033354035632</v>
      </c>
      <c r="J168" s="1" t="n">
        <f aca="false">IF(A168&lt;$F$10, 0, IF(AND($B$21=1, A168&gt;$B$19), 0, $E$10 * $G$10^((A168-$F$10)/12)))</f>
        <v>11.44188781128</v>
      </c>
      <c r="K168" s="1" t="n">
        <f aca="false">IF(A168&lt;$F$11, 0, IF(AND($B$21=1, A168&gt;$B$19), 0, $E$11 * $G$11^((A168-$F$11)/12)))</f>
        <v>0</v>
      </c>
      <c r="L168" s="1" t="n">
        <f aca="false">IF(A168&lt;$F$12, 0, IF(AND($B$21=1, A168&gt;$B$19), 0, $E$12 * $G$12^((A168-$F$12)/12)))</f>
        <v>0</v>
      </c>
      <c r="M168" s="1" t="n">
        <f aca="false">IF(A168&lt;$F$13, 0, IF(AND($B$21=1, A168&gt;$B$19), 0, $E$13 * $G$13^((A168-$F$13)/12)))</f>
        <v>0</v>
      </c>
      <c r="N168" s="1" t="n">
        <f aca="false">IF(A168&lt;$F$14, 0, IF(AND($B$21=1, A168&gt;$B$19), 0, $E$14 * $G$14^((A168-$F$14)/12)))</f>
        <v>0</v>
      </c>
      <c r="O168" s="1" t="n">
        <f aca="false">SUM(F168:N168)</f>
        <v>42.8531525939466</v>
      </c>
      <c r="P168" s="1" t="n">
        <f aca="false">O168/12</f>
        <v>3.57109604949555</v>
      </c>
      <c r="Q168" s="1" t="n">
        <f aca="false">P168*$B$8</f>
        <v>0.357109604949555</v>
      </c>
      <c r="R168" s="1" t="n">
        <f aca="false">P168*$B$9</f>
        <v>0.178554802474778</v>
      </c>
      <c r="S168" s="1" t="n">
        <f aca="false">P168*$B$10</f>
        <v>0.214265762969733</v>
      </c>
      <c r="T168" s="1" t="n">
        <f aca="false">P168-Q168-R168-S168-D168-E168</f>
        <v>2.18474921243482</v>
      </c>
      <c r="U168" s="1" t="n">
        <f aca="false">MAX(0, T168 - $B$7*P168)</f>
        <v>0</v>
      </c>
      <c r="V168" s="1" t="n">
        <f aca="false">T168-U168</f>
        <v>2.18474921243482</v>
      </c>
      <c r="W168" s="1" t="n">
        <f aca="false"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>0</v>
      </c>
      <c r="X168" s="1" t="n">
        <f aca="false">V168-W168-C168</f>
        <v>2.18474921243482</v>
      </c>
      <c r="Y168" s="1" t="n">
        <f aca="false">IF(AND(A168&lt;=$F$10, X168&gt;0), X168*$B$23, 0)</f>
        <v>0</v>
      </c>
      <c r="Z168" s="1" t="n">
        <f aca="false">X168-Y168+IF(A168=$F$10+1, MAX(0, SUM(INDEX(Y:Y,31):INDEX(Y:Y,30+$F$10)) - ('1. Press Assumptions'!$D$93*'1. Press Assumptions'!$E$93 - '1. Press Assumptions'!$D$93*0.1154*0.5)), 0)</f>
        <v>2.18474921243482</v>
      </c>
      <c r="AA168" s="1" t="n">
        <f aca="false">IF(AND(A168=$B$19, $B$21=1), O168*$B$20, 0)</f>
        <v>0</v>
      </c>
      <c r="AB168" s="1" t="n">
        <f aca="false">AB167+Z168+AA168</f>
        <v>433.255383909787</v>
      </c>
    </row>
    <row r="169" customFormat="false" ht="15" hidden="false" customHeight="true" outlineLevel="0" collapsed="false">
      <c r="A169" s="1" t="n">
        <v>139</v>
      </c>
      <c r="B169" s="1" t="n">
        <f aca="false">CEILING(A169/12,1)</f>
        <v>12</v>
      </c>
      <c r="C169" s="1" t="n">
        <f aca="false">IF(A169&lt;=18, $B$15/12, 0)</f>
        <v>0</v>
      </c>
      <c r="D169" s="1" t="n">
        <f aca="false">INDEX('26. Team Comp'!$D$28:$R$28, B169) * 0.001 / 12</f>
        <v>0.636416666666667</v>
      </c>
      <c r="E169" s="1" t="n">
        <f aca="false"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>0</v>
      </c>
      <c r="F169" s="1" t="n">
        <f aca="false">IF(A169&lt;$F$6, 0, IF(AND($B$21=1, A169&gt;$B$19), 0, $E$6 * $G$6^((A169-$F$6)/12)))</f>
        <v>14.0388187860165</v>
      </c>
      <c r="G169" s="1" t="n">
        <f aca="false">IF(A169&lt;$F$7, 0, IF(AND($B$21=1, A169&gt;$B$19), 0, $E$7 * $G$7^((A169-$F$7)/12)))</f>
        <v>7.91444994458599</v>
      </c>
      <c r="H169" s="1" t="n">
        <f aca="false">IF(A169&lt;$F$8, 0, IF(AND($B$21=1, A169&gt;$B$19), 0, $E$8 * $G$8^((A169-$F$8)/12)))</f>
        <v>4.47668949391841</v>
      </c>
      <c r="I169" s="1" t="n">
        <f aca="false">IF(A169&lt;$F$9, 0, IF(AND($B$21=1, A169&gt;$B$19), 0, $E$9 * $G$9^((A169-$F$9)/12)))</f>
        <v>4.72589422740227</v>
      </c>
      <c r="J169" s="1" t="n">
        <f aca="false">IF(A169&lt;$F$10, 0, IF(AND($B$21=1, A169&gt;$B$19), 0, $E$10 * $G$10^((A169-$F$10)/12)))</f>
        <v>11.3930845123478</v>
      </c>
      <c r="K169" s="1" t="n">
        <f aca="false">IF(A169&lt;$F$11, 0, IF(AND($B$21=1, A169&gt;$B$19), 0, $E$11 * $G$11^((A169-$F$11)/12)))</f>
        <v>0</v>
      </c>
      <c r="L169" s="1" t="n">
        <f aca="false">IF(A169&lt;$F$12, 0, IF(AND($B$21=1, A169&gt;$B$19), 0, $E$12 * $G$12^((A169-$F$12)/12)))</f>
        <v>0</v>
      </c>
      <c r="M169" s="1" t="n">
        <f aca="false">IF(A169&lt;$F$13, 0, IF(AND($B$21=1, A169&gt;$B$19), 0, $E$13 * $G$13^((A169-$F$13)/12)))</f>
        <v>0</v>
      </c>
      <c r="N169" s="1" t="n">
        <f aca="false">IF(A169&lt;$F$14, 0, IF(AND($B$21=1, A169&gt;$B$19), 0, $E$14 * $G$14^((A169-$F$14)/12)))</f>
        <v>0</v>
      </c>
      <c r="O169" s="1" t="n">
        <f aca="false">SUM(F169:N169)</f>
        <v>42.548936964271</v>
      </c>
      <c r="P169" s="1" t="n">
        <f aca="false">O169/12</f>
        <v>3.54574474702258</v>
      </c>
      <c r="Q169" s="1" t="n">
        <f aca="false">P169*$B$8</f>
        <v>0.354574474702258</v>
      </c>
      <c r="R169" s="1" t="n">
        <f aca="false">P169*$B$9</f>
        <v>0.177287237351129</v>
      </c>
      <c r="S169" s="1" t="n">
        <f aca="false">P169*$B$10</f>
        <v>0.212744684821355</v>
      </c>
      <c r="T169" s="1" t="n">
        <f aca="false">P169-Q169-R169-S169-D169-E169</f>
        <v>2.16472168348117</v>
      </c>
      <c r="U169" s="1" t="n">
        <f aca="false">MAX(0, T169 - $B$7*P169)</f>
        <v>0</v>
      </c>
      <c r="V169" s="1" t="n">
        <f aca="false">T169-U169</f>
        <v>2.16472168348117</v>
      </c>
      <c r="W169" s="1" t="n">
        <f aca="false"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>0</v>
      </c>
      <c r="X169" s="1" t="n">
        <f aca="false">V169-W169-C169</f>
        <v>2.16472168348117</v>
      </c>
      <c r="Y169" s="1" t="n">
        <f aca="false">IF(AND(A169&lt;=$F$10, X169&gt;0), X169*$B$23, 0)</f>
        <v>0</v>
      </c>
      <c r="Z169" s="1" t="n">
        <f aca="false">X169-Y169+IF(A169=$F$10+1, MAX(0, SUM(INDEX(Y:Y,31):INDEX(Y:Y,30+$F$10)) - ('1. Press Assumptions'!$D$93*'1. Press Assumptions'!$E$93 - '1. Press Assumptions'!$D$93*0.1154*0.5)), 0)</f>
        <v>2.16472168348117</v>
      </c>
      <c r="AA169" s="1" t="n">
        <f aca="false">IF(AND(A169=$B$19, $B$21=1), O169*$B$20, 0)</f>
        <v>0</v>
      </c>
      <c r="AB169" s="1" t="n">
        <f aca="false">AB168+Z169+AA169</f>
        <v>435.420105593268</v>
      </c>
    </row>
    <row r="170" customFormat="false" ht="15" hidden="false" customHeight="true" outlineLevel="0" collapsed="false">
      <c r="A170" s="1" t="n">
        <v>140</v>
      </c>
      <c r="B170" s="1" t="n">
        <f aca="false">CEILING(A170/12,1)</f>
        <v>12</v>
      </c>
      <c r="C170" s="1" t="n">
        <f aca="false">IF(A170&lt;=18, $B$15/12, 0)</f>
        <v>0</v>
      </c>
      <c r="D170" s="1" t="n">
        <f aca="false">INDEX('26. Team Comp'!$D$28:$R$28, B170) * 0.001 / 12</f>
        <v>0.636416666666667</v>
      </c>
      <c r="E170" s="1" t="n">
        <f aca="false"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>0</v>
      </c>
      <c r="F170" s="1" t="n">
        <f aca="false">IF(A170&lt;$F$6, 0, IF(AND($B$21=1, A170&gt;$B$19), 0, $E$6 * $G$6^((A170-$F$6)/12)))</f>
        <v>13.9789387486337</v>
      </c>
      <c r="G170" s="1" t="n">
        <f aca="false">IF(A170&lt;$F$7, 0, IF(AND($B$21=1, A170&gt;$B$19), 0, $E$7 * $G$7^((A170-$F$7)/12)))</f>
        <v>7.84526490225</v>
      </c>
      <c r="H170" s="1" t="n">
        <f aca="false">IF(A170&lt;$F$8, 0, IF(AND($B$21=1, A170&gt;$B$19), 0, $E$8 * $G$8^((A170-$F$8)/12)))</f>
        <v>4.41646930405763</v>
      </c>
      <c r="I170" s="1" t="n">
        <f aca="false">IF(A170&lt;$F$9, 0, IF(AND($B$21=1, A170&gt;$B$19), 0, $E$9 * $G$9^((A170-$F$9)/12)))</f>
        <v>4.66232174867156</v>
      </c>
      <c r="J170" s="1" t="n">
        <f aca="false">IF(A170&lt;$F$10, 0, IF(AND($B$21=1, A170&gt;$B$19), 0, $E$10 * $G$10^((A170-$F$10)/12)))</f>
        <v>11.344489375043</v>
      </c>
      <c r="K170" s="1" t="n">
        <f aca="false">IF(A170&lt;$F$11, 0, IF(AND($B$21=1, A170&gt;$B$19), 0, $E$11 * $G$11^((A170-$F$11)/12)))</f>
        <v>0</v>
      </c>
      <c r="L170" s="1" t="n">
        <f aca="false">IF(A170&lt;$F$12, 0, IF(AND($B$21=1, A170&gt;$B$19), 0, $E$12 * $G$12^((A170-$F$12)/12)))</f>
        <v>0</v>
      </c>
      <c r="M170" s="1" t="n">
        <f aca="false">IF(A170&lt;$F$13, 0, IF(AND($B$21=1, A170&gt;$B$19), 0, $E$13 * $G$13^((A170-$F$13)/12)))</f>
        <v>0</v>
      </c>
      <c r="N170" s="1" t="n">
        <f aca="false">IF(A170&lt;$F$14, 0, IF(AND($B$21=1, A170&gt;$B$19), 0, $E$14 * $G$14^((A170-$F$14)/12)))</f>
        <v>0</v>
      </c>
      <c r="O170" s="1" t="n">
        <f aca="false">SUM(F170:N170)</f>
        <v>42.2474840786559</v>
      </c>
      <c r="P170" s="1" t="n">
        <f aca="false">O170/12</f>
        <v>3.52062367322132</v>
      </c>
      <c r="Q170" s="1" t="n">
        <f aca="false">P170*$B$8</f>
        <v>0.352062367322132</v>
      </c>
      <c r="R170" s="1" t="n">
        <f aca="false">P170*$B$9</f>
        <v>0.176031183661066</v>
      </c>
      <c r="S170" s="1" t="n">
        <f aca="false">P170*$B$10</f>
        <v>0.211237420393279</v>
      </c>
      <c r="T170" s="1" t="n">
        <f aca="false">P170-Q170-R170-S170-D170-E170</f>
        <v>2.14487603517818</v>
      </c>
      <c r="U170" s="1" t="n">
        <f aca="false">MAX(0, T170 - $B$7*P170)</f>
        <v>0</v>
      </c>
      <c r="V170" s="1" t="n">
        <f aca="false">T170-U170</f>
        <v>2.14487603517818</v>
      </c>
      <c r="W170" s="1" t="n">
        <f aca="false"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>0</v>
      </c>
      <c r="X170" s="1" t="n">
        <f aca="false">V170-W170-C170</f>
        <v>2.14487603517818</v>
      </c>
      <c r="Y170" s="1" t="n">
        <f aca="false">IF(AND(A170&lt;=$F$10, X170&gt;0), X170*$B$23, 0)</f>
        <v>0</v>
      </c>
      <c r="Z170" s="1" t="n">
        <f aca="false">X170-Y170+IF(A170=$F$10+1, MAX(0, SUM(INDEX(Y:Y,31):INDEX(Y:Y,30+$F$10)) - ('1. Press Assumptions'!$D$93*'1. Press Assumptions'!$E$93 - '1. Press Assumptions'!$D$93*0.1154*0.5)), 0)</f>
        <v>2.14487603517818</v>
      </c>
      <c r="AA170" s="1" t="n">
        <f aca="false">IF(AND(A170=$B$19, $B$21=1), O170*$B$20, 0)</f>
        <v>0</v>
      </c>
      <c r="AB170" s="1" t="n">
        <f aca="false">AB169+Z170+AA170</f>
        <v>437.564981628447</v>
      </c>
    </row>
    <row r="171" customFormat="false" ht="15" hidden="false" customHeight="true" outlineLevel="0" collapsed="false">
      <c r="A171" s="1" t="n">
        <v>141</v>
      </c>
      <c r="B171" s="1" t="n">
        <f aca="false">CEILING(A171/12,1)</f>
        <v>12</v>
      </c>
      <c r="C171" s="1" t="n">
        <f aca="false">IF(A171&lt;=18, $B$15/12, 0)</f>
        <v>0</v>
      </c>
      <c r="D171" s="1" t="n">
        <f aca="false">INDEX('26. Team Comp'!$D$28:$R$28, B171) * 0.001 / 12</f>
        <v>0.636416666666667</v>
      </c>
      <c r="E171" s="1" t="n">
        <f aca="false"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>0</v>
      </c>
      <c r="F171" s="1" t="n">
        <f aca="false">IF(A171&lt;$F$6, 0, IF(AND($B$21=1, A171&gt;$B$19), 0, $E$6 * $G$6^((A171-$F$6)/12)))</f>
        <v>13.9193141186988</v>
      </c>
      <c r="G171" s="1" t="n">
        <f aca="false">IF(A171&lt;$F$7, 0, IF(AND($B$21=1, A171&gt;$B$19), 0, $E$7 * $G$7^((A171-$F$7)/12)))</f>
        <v>7.776684648638</v>
      </c>
      <c r="H171" s="1" t="n">
        <f aca="false">IF(A171&lt;$F$8, 0, IF(AND($B$21=1, A171&gt;$B$19), 0, $E$8 * $G$8^((A171-$F$8)/12)))</f>
        <v>4.3570591929999</v>
      </c>
      <c r="I171" s="1" t="n">
        <f aca="false">IF(A171&lt;$F$9, 0, IF(AND($B$21=1, A171&gt;$B$19), 0, $E$9 * $G$9^((A171-$F$9)/12)))</f>
        <v>4.59960444355614</v>
      </c>
      <c r="J171" s="1" t="n">
        <f aca="false">IF(A171&lt;$F$10, 0, IF(AND($B$21=1, A171&gt;$B$19), 0, $E$10 * $G$10^((A171-$F$10)/12)))</f>
        <v>11.2961015114898</v>
      </c>
      <c r="K171" s="1" t="n">
        <f aca="false">IF(A171&lt;$F$11, 0, IF(AND($B$21=1, A171&gt;$B$19), 0, $E$11 * $G$11^((A171-$F$11)/12)))</f>
        <v>0</v>
      </c>
      <c r="L171" s="1" t="n">
        <f aca="false">IF(A171&lt;$F$12, 0, IF(AND($B$21=1, A171&gt;$B$19), 0, $E$12 * $G$12^((A171-$F$12)/12)))</f>
        <v>0</v>
      </c>
      <c r="M171" s="1" t="n">
        <f aca="false">IF(A171&lt;$F$13, 0, IF(AND($B$21=1, A171&gt;$B$19), 0, $E$13 * $G$13^((A171-$F$13)/12)))</f>
        <v>0</v>
      </c>
      <c r="N171" s="1" t="n">
        <f aca="false">IF(A171&lt;$F$14, 0, IF(AND($B$21=1, A171&gt;$B$19), 0, $E$14 * $G$14^((A171-$F$14)/12)))</f>
        <v>0</v>
      </c>
      <c r="O171" s="1" t="n">
        <f aca="false">SUM(F171:N171)</f>
        <v>41.9487639153826</v>
      </c>
      <c r="P171" s="1" t="n">
        <f aca="false">O171/12</f>
        <v>3.49573032628188</v>
      </c>
      <c r="Q171" s="1" t="n">
        <f aca="false">P171*$B$8</f>
        <v>0.349573032628188</v>
      </c>
      <c r="R171" s="1" t="n">
        <f aca="false">P171*$B$9</f>
        <v>0.174786516314094</v>
      </c>
      <c r="S171" s="1" t="n">
        <f aca="false">P171*$B$10</f>
        <v>0.209743819576913</v>
      </c>
      <c r="T171" s="1" t="n">
        <f aca="false">P171-Q171-R171-S171-D171-E171</f>
        <v>2.12521029109602</v>
      </c>
      <c r="U171" s="1" t="n">
        <f aca="false">MAX(0, T171 - $B$7*P171)</f>
        <v>0</v>
      </c>
      <c r="V171" s="1" t="n">
        <f aca="false">T171-U171</f>
        <v>2.12521029109602</v>
      </c>
      <c r="W171" s="1" t="n">
        <f aca="false"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>0</v>
      </c>
      <c r="X171" s="1" t="n">
        <f aca="false">V171-W171-C171</f>
        <v>2.12521029109602</v>
      </c>
      <c r="Y171" s="1" t="n">
        <f aca="false">IF(AND(A171&lt;=$F$10, X171&gt;0), X171*$B$23, 0)</f>
        <v>0</v>
      </c>
      <c r="Z171" s="1" t="n">
        <f aca="false">X171-Y171+IF(A171=$F$10+1, MAX(0, SUM(INDEX(Y:Y,31):INDEX(Y:Y,30+$F$10)) - ('1. Press Assumptions'!$D$93*'1. Press Assumptions'!$E$93 - '1. Press Assumptions'!$D$93*0.1154*0.5)), 0)</f>
        <v>2.12521029109602</v>
      </c>
      <c r="AA171" s="1" t="n">
        <f aca="false">IF(AND(A171=$B$19, $B$21=1), O171*$B$20, 0)</f>
        <v>0</v>
      </c>
      <c r="AB171" s="1" t="n">
        <f aca="false">AB170+Z171+AA171</f>
        <v>439.690191919543</v>
      </c>
    </row>
    <row r="172" customFormat="false" ht="15" hidden="false" customHeight="true" outlineLevel="0" collapsed="false">
      <c r="A172" s="1" t="n">
        <v>142</v>
      </c>
      <c r="B172" s="1" t="n">
        <f aca="false">CEILING(A172/12,1)</f>
        <v>12</v>
      </c>
      <c r="C172" s="1" t="n">
        <f aca="false">IF(A172&lt;=18, $B$15/12, 0)</f>
        <v>0</v>
      </c>
      <c r="D172" s="1" t="n">
        <f aca="false">INDEX('26. Team Comp'!$D$28:$R$28, B172) * 0.001 / 12</f>
        <v>0.636416666666667</v>
      </c>
      <c r="E172" s="1" t="n">
        <f aca="false"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>0</v>
      </c>
      <c r="F172" s="1" t="n">
        <f aca="false">IF(A172&lt;$F$6, 0, IF(AND($B$21=1, A172&gt;$B$19), 0, $E$6 * $G$6^((A172-$F$6)/12)))</f>
        <v>13.8599438068175</v>
      </c>
      <c r="G172" s="1" t="n">
        <f aca="false">IF(A172&lt;$F$7, 0, IF(AND($B$21=1, A172&gt;$B$19), 0, $E$7 * $G$7^((A172-$F$7)/12)))</f>
        <v>7.70870389692224</v>
      </c>
      <c r="H172" s="1" t="n">
        <f aca="false">IF(A172&lt;$F$8, 0, IF(AND($B$21=1, A172&gt;$B$19), 0, $E$8 * $G$8^((A172-$F$8)/12)))</f>
        <v>4.29844826360809</v>
      </c>
      <c r="I172" s="1" t="n">
        <f aca="false">IF(A172&lt;$F$9, 0, IF(AND($B$21=1, A172&gt;$B$19), 0, $E$9 * $G$9^((A172-$F$9)/12)))</f>
        <v>4.53773080830587</v>
      </c>
      <c r="J172" s="1" t="n">
        <f aca="false">IF(A172&lt;$F$10, 0, IF(AND($B$21=1, A172&gt;$B$19), 0, $E$10 * $G$10^((A172-$F$10)/12)))</f>
        <v>11.2479200375996</v>
      </c>
      <c r="K172" s="1" t="n">
        <f aca="false">IF(A172&lt;$F$11, 0, IF(AND($B$21=1, A172&gt;$B$19), 0, $E$11 * $G$11^((A172-$F$11)/12)))</f>
        <v>0</v>
      </c>
      <c r="L172" s="1" t="n">
        <f aca="false">IF(A172&lt;$F$12, 0, IF(AND($B$21=1, A172&gt;$B$19), 0, $E$12 * $G$12^((A172-$F$12)/12)))</f>
        <v>0</v>
      </c>
      <c r="M172" s="1" t="n">
        <f aca="false">IF(A172&lt;$F$13, 0, IF(AND($B$21=1, A172&gt;$B$19), 0, $E$13 * $G$13^((A172-$F$13)/12)))</f>
        <v>0</v>
      </c>
      <c r="N172" s="1" t="n">
        <f aca="false">IF(A172&lt;$F$14, 0, IF(AND($B$21=1, A172&gt;$B$19), 0, $E$14 * $G$14^((A172-$F$14)/12)))</f>
        <v>0</v>
      </c>
      <c r="O172" s="1" t="n">
        <f aca="false">SUM(F172:N172)</f>
        <v>41.6527468132533</v>
      </c>
      <c r="P172" s="1" t="n">
        <f aca="false">O172/12</f>
        <v>3.47106223443778</v>
      </c>
      <c r="Q172" s="1" t="n">
        <f aca="false">P172*$B$8</f>
        <v>0.347106223443778</v>
      </c>
      <c r="R172" s="1" t="n">
        <f aca="false">P172*$B$9</f>
        <v>0.173553111721889</v>
      </c>
      <c r="S172" s="1" t="n">
        <f aca="false">P172*$B$10</f>
        <v>0.208263734066267</v>
      </c>
      <c r="T172" s="1" t="n">
        <f aca="false">P172-Q172-R172-S172-D172-E172</f>
        <v>2.10572249853918</v>
      </c>
      <c r="U172" s="1" t="n">
        <f aca="false">MAX(0, T172 - $B$7*P172)</f>
        <v>0</v>
      </c>
      <c r="V172" s="1" t="n">
        <f aca="false">T172-U172</f>
        <v>2.10572249853918</v>
      </c>
      <c r="W172" s="1" t="n">
        <f aca="false"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>0</v>
      </c>
      <c r="X172" s="1" t="n">
        <f aca="false">V172-W172-C172</f>
        <v>2.10572249853918</v>
      </c>
      <c r="Y172" s="1" t="n">
        <f aca="false">IF(AND(A172&lt;=$F$10, X172&gt;0), X172*$B$23, 0)</f>
        <v>0</v>
      </c>
      <c r="Z172" s="1" t="n">
        <f aca="false">X172-Y172+IF(A172=$F$10+1, MAX(0, SUM(INDEX(Y:Y,31):INDEX(Y:Y,30+$F$10)) - ('1. Press Assumptions'!$D$93*'1. Press Assumptions'!$E$93 - '1. Press Assumptions'!$D$93*0.1154*0.5)), 0)</f>
        <v>2.10572249853918</v>
      </c>
      <c r="AA172" s="1" t="n">
        <f aca="false">IF(AND(A172=$B$19, $B$21=1), O172*$B$20, 0)</f>
        <v>0</v>
      </c>
      <c r="AB172" s="1" t="n">
        <f aca="false">AB171+Z172+AA172</f>
        <v>441.795914418082</v>
      </c>
    </row>
    <row r="173" customFormat="false" ht="15" hidden="false" customHeight="true" outlineLevel="0" collapsed="false">
      <c r="A173" s="1" t="n">
        <v>143</v>
      </c>
      <c r="B173" s="1" t="n">
        <f aca="false">CEILING(A173/12,1)</f>
        <v>12</v>
      </c>
      <c r="C173" s="1" t="n">
        <f aca="false">IF(A173&lt;=18, $B$15/12, 0)</f>
        <v>0</v>
      </c>
      <c r="D173" s="1" t="n">
        <f aca="false">INDEX('26. Team Comp'!$D$28:$R$28, B173) * 0.001 / 12</f>
        <v>0.636416666666667</v>
      </c>
      <c r="E173" s="1" t="n">
        <f aca="false"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>0</v>
      </c>
      <c r="F173" s="1" t="n">
        <f aca="false">IF(A173&lt;$F$6, 0, IF(AND($B$21=1, A173&gt;$B$19), 0, $E$6 * $G$6^((A173-$F$6)/12)))</f>
        <v>13.8008267282424</v>
      </c>
      <c r="G173" s="1" t="n">
        <f aca="false">IF(A173&lt;$F$7, 0, IF(AND($B$21=1, A173&gt;$B$19), 0, $E$7 * $G$7^((A173-$F$7)/12)))</f>
        <v>7.64131740649039</v>
      </c>
      <c r="H173" s="1" t="n">
        <f aca="false">IF(A173&lt;$F$8, 0, IF(AND($B$21=1, A173&gt;$B$19), 0, $E$8 * $G$8^((A173-$F$8)/12)))</f>
        <v>4.24062576533278</v>
      </c>
      <c r="I173" s="1" t="n">
        <f aca="false">IF(A173&lt;$F$9, 0, IF(AND($B$21=1, A173&gt;$B$19), 0, $E$9 * $G$9^((A173-$F$9)/12)))</f>
        <v>4.47668949391841</v>
      </c>
      <c r="J173" s="1" t="n">
        <f aca="false">IF(A173&lt;$F$10, 0, IF(AND($B$21=1, A173&gt;$B$19), 0, $E$10 * $G$10^((A173-$F$10)/12)))</f>
        <v>11.1999440730547</v>
      </c>
      <c r="K173" s="1" t="n">
        <f aca="false">IF(A173&lt;$F$11, 0, IF(AND($B$21=1, A173&gt;$B$19), 0, $E$11 * $G$11^((A173-$F$11)/12)))</f>
        <v>0</v>
      </c>
      <c r="L173" s="1" t="n">
        <f aca="false">IF(A173&lt;$F$12, 0, IF(AND($B$21=1, A173&gt;$B$19), 0, $E$12 * $G$12^((A173-$F$12)/12)))</f>
        <v>0</v>
      </c>
      <c r="M173" s="1" t="n">
        <f aca="false">IF(A173&lt;$F$13, 0, IF(AND($B$21=1, A173&gt;$B$19), 0, $E$13 * $G$13^((A173-$F$13)/12)))</f>
        <v>0</v>
      </c>
      <c r="N173" s="1" t="n">
        <f aca="false">IF(A173&lt;$F$14, 0, IF(AND($B$21=1, A173&gt;$B$19), 0, $E$14 * $G$14^((A173-$F$14)/12)))</f>
        <v>0</v>
      </c>
      <c r="O173" s="1" t="n">
        <f aca="false">SUM(F173:N173)</f>
        <v>41.3594034670387</v>
      </c>
      <c r="P173" s="1" t="n">
        <f aca="false">O173/12</f>
        <v>3.44661695558655</v>
      </c>
      <c r="Q173" s="1" t="n">
        <f aca="false">P173*$B$8</f>
        <v>0.344661695558655</v>
      </c>
      <c r="R173" s="1" t="n">
        <f aca="false">P173*$B$9</f>
        <v>0.172330847779328</v>
      </c>
      <c r="S173" s="1" t="n">
        <f aca="false">P173*$B$10</f>
        <v>0.206797017335193</v>
      </c>
      <c r="T173" s="1" t="n">
        <f aca="false">P173-Q173-R173-S173-D173-E173</f>
        <v>2.08641072824671</v>
      </c>
      <c r="U173" s="1" t="n">
        <f aca="false">MAX(0, T173 - $B$7*P173)</f>
        <v>0</v>
      </c>
      <c r="V173" s="1" t="n">
        <f aca="false">T173-U173</f>
        <v>2.08641072824671</v>
      </c>
      <c r="W173" s="1" t="n">
        <f aca="false"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>0</v>
      </c>
      <c r="X173" s="1" t="n">
        <f aca="false">V173-W173-C173</f>
        <v>2.08641072824671</v>
      </c>
      <c r="Y173" s="1" t="n">
        <f aca="false">IF(AND(A173&lt;=$F$10, X173&gt;0), X173*$B$23, 0)</f>
        <v>0</v>
      </c>
      <c r="Z173" s="1" t="n">
        <f aca="false">X173-Y173+IF(A173=$F$10+1, MAX(0, SUM(INDEX(Y:Y,31):INDEX(Y:Y,30+$F$10)) - ('1. Press Assumptions'!$D$93*'1. Press Assumptions'!$E$93 - '1. Press Assumptions'!$D$93*0.1154*0.5)), 0)</f>
        <v>2.08641072824671</v>
      </c>
      <c r="AA173" s="1" t="n">
        <f aca="false">IF(AND(A173=$B$19, $B$21=1), O173*$B$20, 0)</f>
        <v>0</v>
      </c>
      <c r="AB173" s="1" t="n">
        <f aca="false">AB172+Z173+AA173</f>
        <v>443.882325146329</v>
      </c>
    </row>
    <row r="174" customFormat="false" ht="15" hidden="false" customHeight="true" outlineLevel="0" collapsed="false">
      <c r="A174" s="1" t="n">
        <v>144</v>
      </c>
      <c r="B174" s="1" t="n">
        <f aca="false">CEILING(A174/12,1)</f>
        <v>12</v>
      </c>
      <c r="C174" s="1" t="n">
        <f aca="false">IF(A174&lt;=18, $B$15/12, 0)</f>
        <v>0</v>
      </c>
      <c r="D174" s="1" t="n">
        <f aca="false">INDEX('26. Team Comp'!$D$28:$R$28, B174) * 0.001 / 12</f>
        <v>0.636416666666667</v>
      </c>
      <c r="E174" s="1" t="n">
        <f aca="false"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>0</v>
      </c>
      <c r="F174" s="1" t="n">
        <f aca="false">IF(A174&lt;$F$6, 0, IF(AND($B$21=1, A174&gt;$B$19), 0, $E$6 * $G$6^((A174-$F$6)/12)))</f>
        <v>13.7419618028525</v>
      </c>
      <c r="G174" s="1" t="n">
        <f aca="false">IF(A174&lt;$F$7, 0, IF(AND($B$21=1, A174&gt;$B$19), 0, $E$7 * $G$7^((A174-$F$7)/12)))</f>
        <v>7.5745199825415</v>
      </c>
      <c r="H174" s="1" t="n">
        <f aca="false">IF(A174&lt;$F$8, 0, IF(AND($B$21=1, A174&gt;$B$19), 0, $E$8 * $G$8^((A174-$F$8)/12)))</f>
        <v>4.18358109224036</v>
      </c>
      <c r="I174" s="1" t="n">
        <f aca="false">IF(A174&lt;$F$9, 0, IF(AND($B$21=1, A174&gt;$B$19), 0, $E$9 * $G$9^((A174-$F$9)/12)))</f>
        <v>4.41646930405763</v>
      </c>
      <c r="J174" s="1" t="n">
        <f aca="false">IF(A174&lt;$F$10, 0, IF(AND($B$21=1, A174&gt;$B$19), 0, $E$10 * $G$10^((A174-$F$10)/12)))</f>
        <v>11.1521727412923</v>
      </c>
      <c r="K174" s="1" t="n">
        <f aca="false">IF(A174&lt;$F$11, 0, IF(AND($B$21=1, A174&gt;$B$19), 0, $E$11 * $G$11^((A174-$F$11)/12)))</f>
        <v>0</v>
      </c>
      <c r="L174" s="1" t="n">
        <f aca="false">IF(A174&lt;$F$12, 0, IF(AND($B$21=1, A174&gt;$B$19), 0, $E$12 * $G$12^((A174-$F$12)/12)))</f>
        <v>0</v>
      </c>
      <c r="M174" s="1" t="n">
        <f aca="false">IF(A174&lt;$F$13, 0, IF(AND($B$21=1, A174&gt;$B$19), 0, $E$13 * $G$13^((A174-$F$13)/12)))</f>
        <v>0</v>
      </c>
      <c r="N174" s="1" t="n">
        <f aca="false">IF(A174&lt;$F$14, 0, IF(AND($B$21=1, A174&gt;$B$19), 0, $E$14 * $G$14^((A174-$F$14)/12)))</f>
        <v>0</v>
      </c>
      <c r="O174" s="1" t="n">
        <f aca="false">SUM(F174:N174)</f>
        <v>41.0687049229843</v>
      </c>
      <c r="P174" s="1" t="n">
        <f aca="false">O174/12</f>
        <v>3.42239207691536</v>
      </c>
      <c r="Q174" s="1" t="n">
        <f aca="false">P174*$B$8</f>
        <v>0.342239207691536</v>
      </c>
      <c r="R174" s="1" t="n">
        <f aca="false">P174*$B$9</f>
        <v>0.171119603845768</v>
      </c>
      <c r="S174" s="1" t="n">
        <f aca="false">P174*$B$10</f>
        <v>0.205343524614922</v>
      </c>
      <c r="T174" s="1" t="n">
        <f aca="false">P174-Q174-R174-S174-D174-E174</f>
        <v>2.06727307409647</v>
      </c>
      <c r="U174" s="1" t="n">
        <f aca="false">MAX(0, T174 - $B$7*P174)</f>
        <v>0</v>
      </c>
      <c r="V174" s="1" t="n">
        <f aca="false">T174-U174</f>
        <v>2.06727307409647</v>
      </c>
      <c r="W174" s="1" t="n">
        <f aca="false"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>0</v>
      </c>
      <c r="X174" s="1" t="n">
        <f aca="false">V174-W174-C174</f>
        <v>2.06727307409647</v>
      </c>
      <c r="Y174" s="1" t="n">
        <f aca="false">IF(AND(A174&lt;=$F$10, X174&gt;0), X174*$B$23, 0)</f>
        <v>0</v>
      </c>
      <c r="Z174" s="1" t="n">
        <f aca="false">X174-Y174+IF(A174=$F$10+1, MAX(0, SUM(INDEX(Y:Y,31):INDEX(Y:Y,30+$F$10)) - ('1. Press Assumptions'!$D$93*'1. Press Assumptions'!$E$93 - '1. Press Assumptions'!$D$93*0.1154*0.5)), 0)</f>
        <v>2.06727307409647</v>
      </c>
      <c r="AA174" s="1" t="n">
        <f aca="false">IF(AND(A174=$B$19, $B$21=1), O174*$B$20, 0)</f>
        <v>0</v>
      </c>
      <c r="AB174" s="1" t="n">
        <f aca="false">AB173+Z174+AA174</f>
        <v>445.949598220425</v>
      </c>
    </row>
    <row r="175" customFormat="false" ht="15" hidden="false" customHeight="true" outlineLevel="0" collapsed="false">
      <c r="A175" s="1" t="n">
        <v>145</v>
      </c>
      <c r="B175" s="1" t="n">
        <f aca="false">CEILING(A175/12,1)</f>
        <v>13</v>
      </c>
      <c r="C175" s="1" t="n">
        <f aca="false">IF(A175&lt;=18, $B$15/12, 0)</f>
        <v>0</v>
      </c>
      <c r="D175" s="1" t="n">
        <f aca="false">INDEX('26. Team Comp'!$D$28:$R$28, B175) * 0.001 / 12</f>
        <v>0.636416666666667</v>
      </c>
      <c r="E175" s="1" t="n">
        <f aca="false"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>0</v>
      </c>
      <c r="F175" s="1" t="n">
        <f aca="false">IF(A175&lt;$F$6, 0, IF(AND($B$21=1, A175&gt;$B$19), 0, $E$6 * $G$6^((A175-$F$6)/12)))</f>
        <v>13.6833479551343</v>
      </c>
      <c r="G175" s="1" t="n">
        <f aca="false">IF(A175&lt;$F$7, 0, IF(AND($B$21=1, A175&gt;$B$19), 0, $E$7 * $G$7^((A175-$F$7)/12)))</f>
        <v>7.50830647568555</v>
      </c>
      <c r="H175" s="1" t="n">
        <f aca="false">IF(A175&lt;$F$8, 0, IF(AND($B$21=1, A175&gt;$B$19), 0, $E$8 * $G$8^((A175-$F$8)/12)))</f>
        <v>4.12730378106768</v>
      </c>
      <c r="I175" s="1" t="n">
        <f aca="false">IF(A175&lt;$F$9, 0, IF(AND($B$21=1, A175&gt;$B$19), 0, $E$9 * $G$9^((A175-$F$9)/12)))</f>
        <v>4.3570591929999</v>
      </c>
      <c r="J175" s="1" t="n">
        <f aca="false">IF(A175&lt;$F$10, 0, IF(AND($B$21=1, A175&gt;$B$19), 0, $E$10 * $G$10^((A175-$F$10)/12)))</f>
        <v>11.1046051694882</v>
      </c>
      <c r="K175" s="1" t="n">
        <f aca="false">IF(A175&lt;$F$11, 0, IF(AND($B$21=1, A175&gt;$B$19), 0, $E$11 * $G$11^((A175-$F$11)/12)))</f>
        <v>0</v>
      </c>
      <c r="L175" s="1" t="n">
        <f aca="false">IF(A175&lt;$F$12, 0, IF(AND($B$21=1, A175&gt;$B$19), 0, $E$12 * $G$12^((A175-$F$12)/12)))</f>
        <v>0</v>
      </c>
      <c r="M175" s="1" t="n">
        <f aca="false">IF(A175&lt;$F$13, 0, IF(AND($B$21=1, A175&gt;$B$19), 0, $E$13 * $G$13^((A175-$F$13)/12)))</f>
        <v>0</v>
      </c>
      <c r="N175" s="1" t="n">
        <f aca="false">IF(A175&lt;$F$14, 0, IF(AND($B$21=1, A175&gt;$B$19), 0, $E$14 * $G$14^((A175-$F$14)/12)))</f>
        <v>0</v>
      </c>
      <c r="O175" s="1" t="n">
        <f aca="false">SUM(F175:N175)</f>
        <v>40.7806225743757</v>
      </c>
      <c r="P175" s="1" t="n">
        <f aca="false">O175/12</f>
        <v>3.39838521453131</v>
      </c>
      <c r="Q175" s="1" t="n">
        <f aca="false">P175*$B$8</f>
        <v>0.339838521453131</v>
      </c>
      <c r="R175" s="1" t="n">
        <f aca="false">P175*$B$9</f>
        <v>0.169919260726565</v>
      </c>
      <c r="S175" s="1" t="n">
        <f aca="false">P175*$B$10</f>
        <v>0.203903112871878</v>
      </c>
      <c r="T175" s="1" t="n">
        <f aca="false">P175-Q175-R175-S175-D175-E175</f>
        <v>2.04830765281307</v>
      </c>
      <c r="U175" s="1" t="n">
        <f aca="false">MAX(0, T175 - $B$7*P175)</f>
        <v>0</v>
      </c>
      <c r="V175" s="1" t="n">
        <f aca="false">T175-U175</f>
        <v>2.04830765281307</v>
      </c>
      <c r="W175" s="1" t="n">
        <f aca="false"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>0</v>
      </c>
      <c r="X175" s="1" t="n">
        <f aca="false">V175-W175-C175</f>
        <v>2.04830765281307</v>
      </c>
      <c r="Y175" s="1" t="n">
        <f aca="false">IF(AND(A175&lt;=$F$10, X175&gt;0), X175*$B$23, 0)</f>
        <v>0</v>
      </c>
      <c r="Z175" s="1" t="n">
        <f aca="false">X175-Y175+IF(A175=$F$10+1, MAX(0, SUM(INDEX(Y:Y,31):INDEX(Y:Y,30+$F$10)) - ('1. Press Assumptions'!$D$93*'1. Press Assumptions'!$E$93 - '1. Press Assumptions'!$D$93*0.1154*0.5)), 0)</f>
        <v>2.04830765281307</v>
      </c>
      <c r="AA175" s="1" t="n">
        <f aca="false">IF(AND(A175=$B$19, $B$21=1), O175*$B$20, 0)</f>
        <v>0</v>
      </c>
      <c r="AB175" s="1" t="n">
        <f aca="false">AB174+Z175+AA175</f>
        <v>447.997905873238</v>
      </c>
    </row>
    <row r="176" customFormat="false" ht="15" hidden="false" customHeight="true" outlineLevel="0" collapsed="false">
      <c r="A176" s="1" t="n">
        <v>146</v>
      </c>
      <c r="B176" s="1" t="n">
        <f aca="false">CEILING(A176/12,1)</f>
        <v>13</v>
      </c>
      <c r="C176" s="1" t="n">
        <f aca="false">IF(A176&lt;=18, $B$15/12, 0)</f>
        <v>0</v>
      </c>
      <c r="D176" s="1" t="n">
        <f aca="false">INDEX('26. Team Comp'!$D$28:$R$28, B176) * 0.001 / 12</f>
        <v>0.636416666666667</v>
      </c>
      <c r="E176" s="1" t="n">
        <f aca="false"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>0</v>
      </c>
      <c r="F176" s="1" t="n">
        <f aca="false">IF(A176&lt;$F$6, 0, IF(AND($B$21=1, A176&gt;$B$19), 0, $E$6 * $G$6^((A176-$F$6)/12)))</f>
        <v>13.6249841141614</v>
      </c>
      <c r="G176" s="1" t="n">
        <f aca="false">IF(A176&lt;$F$7, 0, IF(AND($B$21=1, A176&gt;$B$19), 0, $E$7 * $G$7^((A176-$F$7)/12)))</f>
        <v>7.44267178154647</v>
      </c>
      <c r="H176" s="1" t="n">
        <f aca="false">IF(A176&lt;$F$8, 0, IF(AND($B$21=1, A176&gt;$B$19), 0, $E$8 * $G$8^((A176-$F$8)/12)))</f>
        <v>4.07178350930287</v>
      </c>
      <c r="I176" s="1" t="n">
        <f aca="false">IF(A176&lt;$F$9, 0, IF(AND($B$21=1, A176&gt;$B$19), 0, $E$9 * $G$9^((A176-$F$9)/12)))</f>
        <v>4.29844826360809</v>
      </c>
      <c r="J176" s="1" t="n">
        <f aca="false">IF(A176&lt;$F$10, 0, IF(AND($B$21=1, A176&gt;$B$19), 0, $E$10 * $G$10^((A176-$F$10)/12)))</f>
        <v>11.0572404885414</v>
      </c>
      <c r="K176" s="1" t="n">
        <f aca="false">IF(A176&lt;$F$11, 0, IF(AND($B$21=1, A176&gt;$B$19), 0, $E$11 * $G$11^((A176-$F$11)/12)))</f>
        <v>0</v>
      </c>
      <c r="L176" s="1" t="n">
        <f aca="false">IF(A176&lt;$F$12, 0, IF(AND($B$21=1, A176&gt;$B$19), 0, $E$12 * $G$12^((A176-$F$12)/12)))</f>
        <v>0</v>
      </c>
      <c r="M176" s="1" t="n">
        <f aca="false">IF(A176&lt;$F$13, 0, IF(AND($B$21=1, A176&gt;$B$19), 0, $E$13 * $G$13^((A176-$F$13)/12)))</f>
        <v>0</v>
      </c>
      <c r="N176" s="1" t="n">
        <f aca="false">IF(A176&lt;$F$14, 0, IF(AND($B$21=1, A176&gt;$B$19), 0, $E$14 * $G$14^((A176-$F$14)/12)))</f>
        <v>0</v>
      </c>
      <c r="O176" s="1" t="n">
        <f aca="false">SUM(F176:N176)</f>
        <v>40.4951281571602</v>
      </c>
      <c r="P176" s="1" t="n">
        <f aca="false">O176/12</f>
        <v>3.37459401309669</v>
      </c>
      <c r="Q176" s="1" t="n">
        <f aca="false">P176*$B$8</f>
        <v>0.337459401309669</v>
      </c>
      <c r="R176" s="1" t="n">
        <f aca="false">P176*$B$9</f>
        <v>0.168729700654834</v>
      </c>
      <c r="S176" s="1" t="n">
        <f aca="false">P176*$B$10</f>
        <v>0.202475640785801</v>
      </c>
      <c r="T176" s="1" t="n">
        <f aca="false">P176-Q176-R176-S176-D176-E176</f>
        <v>2.02951260367972</v>
      </c>
      <c r="U176" s="1" t="n">
        <f aca="false">MAX(0, T176 - $B$7*P176)</f>
        <v>0</v>
      </c>
      <c r="V176" s="1" t="n">
        <f aca="false">T176-U176</f>
        <v>2.02951260367972</v>
      </c>
      <c r="W176" s="1" t="n">
        <f aca="false"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>0</v>
      </c>
      <c r="X176" s="1" t="n">
        <f aca="false">V176-W176-C176</f>
        <v>2.02951260367972</v>
      </c>
      <c r="Y176" s="1" t="n">
        <f aca="false">IF(AND(A176&lt;=$F$10, X176&gt;0), X176*$B$23, 0)</f>
        <v>0</v>
      </c>
      <c r="Z176" s="1" t="n">
        <f aca="false">X176-Y176+IF(A176=$F$10+1, MAX(0, SUM(INDEX(Y:Y,31):INDEX(Y:Y,30+$F$10)) - ('1. Press Assumptions'!$D$93*'1. Press Assumptions'!$E$93 - '1. Press Assumptions'!$D$93*0.1154*0.5)), 0)</f>
        <v>2.02951260367972</v>
      </c>
      <c r="AA176" s="1" t="n">
        <f aca="false">IF(AND(A176=$B$19, $B$21=1), O176*$B$20, 0)</f>
        <v>0</v>
      </c>
      <c r="AB176" s="1" t="n">
        <f aca="false">AB175+Z176+AA176</f>
        <v>450.027418476918</v>
      </c>
    </row>
    <row r="177" customFormat="false" ht="15" hidden="false" customHeight="true" outlineLevel="0" collapsed="false">
      <c r="A177" s="1" t="n">
        <v>147</v>
      </c>
      <c r="B177" s="1" t="n">
        <f aca="false">CEILING(A177/12,1)</f>
        <v>13</v>
      </c>
      <c r="C177" s="1" t="n">
        <f aca="false">IF(A177&lt;=18, $B$15/12, 0)</f>
        <v>0</v>
      </c>
      <c r="D177" s="1" t="n">
        <f aca="false">INDEX('26. Team Comp'!$D$28:$R$28, B177) * 0.001 / 12</f>
        <v>0.636416666666667</v>
      </c>
      <c r="E177" s="1" t="n">
        <f aca="false"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>0</v>
      </c>
      <c r="F177" s="1" t="n">
        <f aca="false">IF(A177&lt;$F$6, 0, IF(AND($B$21=1, A177&gt;$B$19), 0, $E$6 * $G$6^((A177-$F$6)/12)))</f>
        <v>13.5668692135753</v>
      </c>
      <c r="G177" s="1" t="n">
        <f aca="false">IF(A177&lt;$F$7, 0, IF(AND($B$21=1, A177&gt;$B$19), 0, $E$7 * $G$7^((A177-$F$7)/12)))</f>
        <v>7.3776108403687</v>
      </c>
      <c r="H177" s="1" t="n">
        <f aca="false">IF(A177&lt;$F$8, 0, IF(AND($B$21=1, A177&gt;$B$19), 0, $E$8 * $G$8^((A177-$F$8)/12)))</f>
        <v>4.01701009329193</v>
      </c>
      <c r="I177" s="1" t="n">
        <f aca="false">IF(A177&lt;$F$9, 0, IF(AND($B$21=1, A177&gt;$B$19), 0, $E$9 * $G$9^((A177-$F$9)/12)))</f>
        <v>4.24062576533278</v>
      </c>
      <c r="J177" s="1" t="n">
        <f aca="false">IF(A177&lt;$F$10, 0, IF(AND($B$21=1, A177&gt;$B$19), 0, $E$10 * $G$10^((A177-$F$10)/12)))</f>
        <v>11.0100778330576</v>
      </c>
      <c r="K177" s="1" t="n">
        <f aca="false">IF(A177&lt;$F$11, 0, IF(AND($B$21=1, A177&gt;$B$19), 0, $E$11 * $G$11^((A177-$F$11)/12)))</f>
        <v>0</v>
      </c>
      <c r="L177" s="1" t="n">
        <f aca="false">IF(A177&lt;$F$12, 0, IF(AND($B$21=1, A177&gt;$B$19), 0, $E$12 * $G$12^((A177-$F$12)/12)))</f>
        <v>0</v>
      </c>
      <c r="M177" s="1" t="n">
        <f aca="false">IF(A177&lt;$F$13, 0, IF(AND($B$21=1, A177&gt;$B$19), 0, $E$13 * $G$13^((A177-$F$13)/12)))</f>
        <v>0</v>
      </c>
      <c r="N177" s="1" t="n">
        <f aca="false">IF(A177&lt;$F$14, 0, IF(AND($B$21=1, A177&gt;$B$19), 0, $E$14 * $G$14^((A177-$F$14)/12)))</f>
        <v>0</v>
      </c>
      <c r="O177" s="1" t="n">
        <f aca="false">SUM(F177:N177)</f>
        <v>40.2121937456263</v>
      </c>
      <c r="P177" s="1" t="n">
        <f aca="false">O177/12</f>
        <v>3.35101614546886</v>
      </c>
      <c r="Q177" s="1" t="n">
        <f aca="false">P177*$B$8</f>
        <v>0.335101614546886</v>
      </c>
      <c r="R177" s="1" t="n">
        <f aca="false">P177*$B$9</f>
        <v>0.167550807273443</v>
      </c>
      <c r="S177" s="1" t="n">
        <f aca="false">P177*$B$10</f>
        <v>0.201060968728132</v>
      </c>
      <c r="T177" s="1" t="n">
        <f aca="false">P177-Q177-R177-S177-D177-E177</f>
        <v>2.01088608825373</v>
      </c>
      <c r="U177" s="1" t="n">
        <f aca="false">MAX(0, T177 - $B$7*P177)</f>
        <v>0</v>
      </c>
      <c r="V177" s="1" t="n">
        <f aca="false">T177-U177</f>
        <v>2.01088608825373</v>
      </c>
      <c r="W177" s="1" t="n">
        <f aca="false"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>0</v>
      </c>
      <c r="X177" s="1" t="n">
        <f aca="false">V177-W177-C177</f>
        <v>2.01088608825373</v>
      </c>
      <c r="Y177" s="1" t="n">
        <f aca="false">IF(AND(A177&lt;=$F$10, X177&gt;0), X177*$B$23, 0)</f>
        <v>0</v>
      </c>
      <c r="Z177" s="1" t="n">
        <f aca="false">X177-Y177+IF(A177=$F$10+1, MAX(0, SUM(INDEX(Y:Y,31):INDEX(Y:Y,30+$F$10)) - ('1. Press Assumptions'!$D$93*'1. Press Assumptions'!$E$93 - '1. Press Assumptions'!$D$93*0.1154*0.5)), 0)</f>
        <v>2.01088608825373</v>
      </c>
      <c r="AA177" s="1" t="n">
        <f aca="false">IF(AND(A177=$B$19, $B$21=1), O177*$B$20, 0)</f>
        <v>0</v>
      </c>
      <c r="AB177" s="1" t="n">
        <f aca="false">AB176+Z177+AA177</f>
        <v>452.038304565172</v>
      </c>
    </row>
    <row r="178" customFormat="false" ht="15" hidden="false" customHeight="true" outlineLevel="0" collapsed="false">
      <c r="A178" s="1" t="n">
        <v>148</v>
      </c>
      <c r="B178" s="1" t="n">
        <f aca="false">CEILING(A178/12,1)</f>
        <v>13</v>
      </c>
      <c r="C178" s="1" t="n">
        <f aca="false">IF(A178&lt;=18, $B$15/12, 0)</f>
        <v>0</v>
      </c>
      <c r="D178" s="1" t="n">
        <f aca="false">INDEX('26. Team Comp'!$D$28:$R$28, B178) * 0.001 / 12</f>
        <v>0.636416666666667</v>
      </c>
      <c r="E178" s="1" t="n">
        <f aca="false"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>0</v>
      </c>
      <c r="F178" s="1" t="n">
        <f aca="false">IF(A178&lt;$F$6, 0, IF(AND($B$21=1, A178&gt;$B$19), 0, $E$6 * $G$6^((A178-$F$6)/12)))</f>
        <v>13.5090021915659</v>
      </c>
      <c r="G178" s="1" t="n">
        <f aca="false">IF(A178&lt;$F$7, 0, IF(AND($B$21=1, A178&gt;$B$19), 0, $E$7 * $G$7^((A178-$F$7)/12)))</f>
        <v>7.31311863662704</v>
      </c>
      <c r="H178" s="1" t="n">
        <f aca="false">IF(A178&lt;$F$8, 0, IF(AND($B$21=1, A178&gt;$B$19), 0, $E$8 * $G$8^((A178-$F$8)/12)))</f>
        <v>3.96297348637082</v>
      </c>
      <c r="I178" s="1" t="n">
        <f aca="false">IF(A178&lt;$F$9, 0, IF(AND($B$21=1, A178&gt;$B$19), 0, $E$9 * $G$9^((A178-$F$9)/12)))</f>
        <v>4.18358109224036</v>
      </c>
      <c r="J178" s="1" t="n">
        <f aca="false">IF(A178&lt;$F$10, 0, IF(AND($B$21=1, A178&gt;$B$19), 0, $E$10 * $G$10^((A178-$F$10)/12)))</f>
        <v>10.9631163413339</v>
      </c>
      <c r="K178" s="1" t="n">
        <f aca="false">IF(A178&lt;$F$11, 0, IF(AND($B$21=1, A178&gt;$B$19), 0, $E$11 * $G$11^((A178-$F$11)/12)))</f>
        <v>0</v>
      </c>
      <c r="L178" s="1" t="n">
        <f aca="false">IF(A178&lt;$F$12, 0, IF(AND($B$21=1, A178&gt;$B$19), 0, $E$12 * $G$12^((A178-$F$12)/12)))</f>
        <v>0</v>
      </c>
      <c r="M178" s="1" t="n">
        <f aca="false">IF(A178&lt;$F$13, 0, IF(AND($B$21=1, A178&gt;$B$19), 0, $E$13 * $G$13^((A178-$F$13)/12)))</f>
        <v>0</v>
      </c>
      <c r="N178" s="1" t="n">
        <f aca="false">IF(A178&lt;$F$14, 0, IF(AND($B$21=1, A178&gt;$B$19), 0, $E$14 * $G$14^((A178-$F$14)/12)))</f>
        <v>0</v>
      </c>
      <c r="O178" s="1" t="n">
        <f aca="false">SUM(F178:N178)</f>
        <v>39.931791748138</v>
      </c>
      <c r="P178" s="1" t="n">
        <f aca="false">O178/12</f>
        <v>3.32764931234484</v>
      </c>
      <c r="Q178" s="1" t="n">
        <f aca="false">P178*$B$8</f>
        <v>0.332764931234484</v>
      </c>
      <c r="R178" s="1" t="n">
        <f aca="false">P178*$B$9</f>
        <v>0.166382465617242</v>
      </c>
      <c r="S178" s="1" t="n">
        <f aca="false">P178*$B$10</f>
        <v>0.19965895874069</v>
      </c>
      <c r="T178" s="1" t="n">
        <f aca="false">P178-Q178-R178-S178-D178-E178</f>
        <v>1.99242629008575</v>
      </c>
      <c r="U178" s="1" t="n">
        <f aca="false">MAX(0, T178 - $B$7*P178)</f>
        <v>0</v>
      </c>
      <c r="V178" s="1" t="n">
        <f aca="false">T178-U178</f>
        <v>1.99242629008575</v>
      </c>
      <c r="W178" s="1" t="n">
        <f aca="false"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>0</v>
      </c>
      <c r="X178" s="1" t="n">
        <f aca="false">V178-W178-C178</f>
        <v>1.99242629008575</v>
      </c>
      <c r="Y178" s="1" t="n">
        <f aca="false">IF(AND(A178&lt;=$F$10, X178&gt;0), X178*$B$23, 0)</f>
        <v>0</v>
      </c>
      <c r="Z178" s="1" t="n">
        <f aca="false">X178-Y178+IF(A178=$F$10+1, MAX(0, SUM(INDEX(Y:Y,31):INDEX(Y:Y,30+$F$10)) - ('1. Press Assumptions'!$D$93*'1. Press Assumptions'!$E$93 - '1. Press Assumptions'!$D$93*0.1154*0.5)), 0)</f>
        <v>1.99242629008575</v>
      </c>
      <c r="AA178" s="1" t="n">
        <f aca="false">IF(AND(A178=$B$19, $B$21=1), O178*$B$20, 0)</f>
        <v>0</v>
      </c>
      <c r="AB178" s="1" t="n">
        <f aca="false">AB177+Z178+AA178</f>
        <v>454.030730855257</v>
      </c>
    </row>
    <row r="179" customFormat="false" ht="15" hidden="false" customHeight="true" outlineLevel="0" collapsed="false">
      <c r="A179" s="1" t="n">
        <v>149</v>
      </c>
      <c r="B179" s="1" t="n">
        <f aca="false">CEILING(A179/12,1)</f>
        <v>13</v>
      </c>
      <c r="C179" s="1" t="n">
        <f aca="false">IF(A179&lt;=18, $B$15/12, 0)</f>
        <v>0</v>
      </c>
      <c r="D179" s="1" t="n">
        <f aca="false">INDEX('26. Team Comp'!$D$28:$R$28, B179) * 0.001 / 12</f>
        <v>0.636416666666667</v>
      </c>
      <c r="E179" s="1" t="n">
        <f aca="false"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>0</v>
      </c>
      <c r="F179" s="1" t="n">
        <f aca="false">IF(A179&lt;$F$6, 0, IF(AND($B$21=1, A179&gt;$B$19), 0, $E$6 * $G$6^((A179-$F$6)/12)))</f>
        <v>13.4513819908521</v>
      </c>
      <c r="G179" s="1" t="n">
        <f aca="false">IF(A179&lt;$F$7, 0, IF(AND($B$21=1, A179&gt;$B$19), 0, $E$7 * $G$7^((A179-$F$7)/12)))</f>
        <v>7.2491901986401</v>
      </c>
      <c r="H179" s="1" t="n">
        <f aca="false">IF(A179&lt;$F$8, 0, IF(AND($B$21=1, A179&gt;$B$19), 0, $E$8 * $G$8^((A179-$F$8)/12)))</f>
        <v>3.90966377702272</v>
      </c>
      <c r="I179" s="1" t="n">
        <f aca="false">IF(A179&lt;$F$9, 0, IF(AND($B$21=1, A179&gt;$B$19), 0, $E$9 * $G$9^((A179-$F$9)/12)))</f>
        <v>4.12730378106768</v>
      </c>
      <c r="J179" s="1" t="n">
        <f aca="false">IF(A179&lt;$F$10, 0, IF(AND($B$21=1, A179&gt;$B$19), 0, $E$10 * $G$10^((A179-$F$10)/12)))</f>
        <v>10.9163551553426</v>
      </c>
      <c r="K179" s="1" t="n">
        <f aca="false">IF(A179&lt;$F$11, 0, IF(AND($B$21=1, A179&gt;$B$19), 0, $E$11 * $G$11^((A179-$F$11)/12)))</f>
        <v>0</v>
      </c>
      <c r="L179" s="1" t="n">
        <f aca="false">IF(A179&lt;$F$12, 0, IF(AND($B$21=1, A179&gt;$B$19), 0, $E$12 * $G$12^((A179-$F$12)/12)))</f>
        <v>0</v>
      </c>
      <c r="M179" s="1" t="n">
        <f aca="false">IF(A179&lt;$F$13, 0, IF(AND($B$21=1, A179&gt;$B$19), 0, $E$13 * $G$13^((A179-$F$13)/12)))</f>
        <v>0</v>
      </c>
      <c r="N179" s="1" t="n">
        <f aca="false">IF(A179&lt;$F$14, 0, IF(AND($B$21=1, A179&gt;$B$19), 0, $E$14 * $G$14^((A179-$F$14)/12)))</f>
        <v>0</v>
      </c>
      <c r="O179" s="1" t="n">
        <f aca="false">SUM(F179:N179)</f>
        <v>39.6538949029252</v>
      </c>
      <c r="P179" s="1" t="n">
        <f aca="false">O179/12</f>
        <v>3.30449124191044</v>
      </c>
      <c r="Q179" s="1" t="n">
        <f aca="false">P179*$B$8</f>
        <v>0.330449124191044</v>
      </c>
      <c r="R179" s="1" t="n">
        <f aca="false">P179*$B$9</f>
        <v>0.165224562095522</v>
      </c>
      <c r="S179" s="1" t="n">
        <f aca="false">P179*$B$10</f>
        <v>0.198269474514626</v>
      </c>
      <c r="T179" s="1" t="n">
        <f aca="false">P179-Q179-R179-S179-D179-E179</f>
        <v>1.97413141444258</v>
      </c>
      <c r="U179" s="1" t="n">
        <f aca="false">MAX(0, T179 - $B$7*P179)</f>
        <v>0</v>
      </c>
      <c r="V179" s="1" t="n">
        <f aca="false">T179-U179</f>
        <v>1.97413141444258</v>
      </c>
      <c r="W179" s="1" t="n">
        <f aca="false"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>0</v>
      </c>
      <c r="X179" s="1" t="n">
        <f aca="false">V179-W179-C179</f>
        <v>1.97413141444258</v>
      </c>
      <c r="Y179" s="1" t="n">
        <f aca="false">IF(AND(A179&lt;=$F$10, X179&gt;0), X179*$B$23, 0)</f>
        <v>0</v>
      </c>
      <c r="Z179" s="1" t="n">
        <f aca="false">X179-Y179+IF(A179=$F$10+1, MAX(0, SUM(INDEX(Y:Y,31):INDEX(Y:Y,30+$F$10)) - ('1. Press Assumptions'!$D$93*'1. Press Assumptions'!$E$93 - '1. Press Assumptions'!$D$93*0.1154*0.5)), 0)</f>
        <v>1.97413141444258</v>
      </c>
      <c r="AA179" s="1" t="n">
        <f aca="false">IF(AND(A179=$B$19, $B$21=1), O179*$B$20, 0)</f>
        <v>0</v>
      </c>
      <c r="AB179" s="1" t="n">
        <f aca="false">AB178+Z179+AA179</f>
        <v>456.0048622697</v>
      </c>
    </row>
    <row r="180" customFormat="false" ht="15" hidden="false" customHeight="true" outlineLevel="0" collapsed="false">
      <c r="A180" s="1" t="n">
        <v>150</v>
      </c>
      <c r="B180" s="1" t="n">
        <f aca="false">CEILING(A180/12,1)</f>
        <v>13</v>
      </c>
      <c r="C180" s="1" t="n">
        <f aca="false">IF(A180&lt;=18, $B$15/12, 0)</f>
        <v>0</v>
      </c>
      <c r="D180" s="1" t="n">
        <f aca="false">INDEX('26. Team Comp'!$D$28:$R$28, B180) * 0.001 / 12</f>
        <v>0.636416666666667</v>
      </c>
      <c r="E180" s="1" t="n">
        <f aca="false"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>0</v>
      </c>
      <c r="F180" s="1" t="n">
        <f aca="false">IF(A180&lt;$F$6, 0, IF(AND($B$21=1, A180&gt;$B$19), 0, $E$6 * $G$6^((A180-$F$6)/12)))</f>
        <v>13.3940075586624</v>
      </c>
      <c r="G180" s="1" t="n">
        <f aca="false">IF(A180&lt;$F$7, 0, IF(AND($B$21=1, A180&gt;$B$19), 0, $E$7 * $G$7^((A180-$F$7)/12)))</f>
        <v>7.18582059818699</v>
      </c>
      <c r="H180" s="1" t="n">
        <f aca="false">IF(A180&lt;$F$8, 0, IF(AND($B$21=1, A180&gt;$B$19), 0, $E$8 * $G$8^((A180-$F$8)/12)))</f>
        <v>3.85707118705999</v>
      </c>
      <c r="I180" s="1" t="n">
        <f aca="false">IF(A180&lt;$F$9, 0, IF(AND($B$21=1, A180&gt;$B$19), 0, $E$9 * $G$9^((A180-$F$9)/12)))</f>
        <v>4.07178350930287</v>
      </c>
      <c r="J180" s="1" t="n">
        <f aca="false">IF(A180&lt;$F$10, 0, IF(AND($B$21=1, A180&gt;$B$19), 0, $E$10 * $G$10^((A180-$F$10)/12)))</f>
        <v>10.869793420716</v>
      </c>
      <c r="K180" s="1" t="n">
        <f aca="false">IF(A180&lt;$F$11, 0, IF(AND($B$21=1, A180&gt;$B$19), 0, $E$11 * $G$11^((A180-$F$11)/12)))</f>
        <v>0</v>
      </c>
      <c r="L180" s="1" t="n">
        <f aca="false">IF(A180&lt;$F$12, 0, IF(AND($B$21=1, A180&gt;$B$19), 0, $E$12 * $G$12^((A180-$F$12)/12)))</f>
        <v>0</v>
      </c>
      <c r="M180" s="1" t="n">
        <f aca="false">IF(A180&lt;$F$13, 0, IF(AND($B$21=1, A180&gt;$B$19), 0, $E$13 * $G$13^((A180-$F$13)/12)))</f>
        <v>0</v>
      </c>
      <c r="N180" s="1" t="n">
        <f aca="false">IF(A180&lt;$F$14, 0, IF(AND($B$21=1, A180&gt;$B$19), 0, $E$14 * $G$14^((A180-$F$14)/12)))</f>
        <v>0</v>
      </c>
      <c r="O180" s="1" t="n">
        <f aca="false">SUM(F180:N180)</f>
        <v>39.3784762739283</v>
      </c>
      <c r="P180" s="1" t="n">
        <f aca="false">O180/12</f>
        <v>3.28153968949402</v>
      </c>
      <c r="Q180" s="1" t="n">
        <f aca="false">P180*$B$8</f>
        <v>0.328153968949402</v>
      </c>
      <c r="R180" s="1" t="n">
        <f aca="false">P180*$B$9</f>
        <v>0.164076984474701</v>
      </c>
      <c r="S180" s="1" t="n">
        <f aca="false">P180*$B$10</f>
        <v>0.196892381369641</v>
      </c>
      <c r="T180" s="1" t="n">
        <f aca="false">P180-Q180-R180-S180-D180-E180</f>
        <v>1.95599968803361</v>
      </c>
      <c r="U180" s="1" t="n">
        <f aca="false">MAX(0, T180 - $B$7*P180)</f>
        <v>0</v>
      </c>
      <c r="V180" s="1" t="n">
        <f aca="false">T180-U180</f>
        <v>1.95599968803361</v>
      </c>
      <c r="W180" s="1" t="n">
        <f aca="false"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>0</v>
      </c>
      <c r="X180" s="1" t="n">
        <f aca="false">V180-W180-C180</f>
        <v>1.95599968803361</v>
      </c>
      <c r="Y180" s="1" t="n">
        <f aca="false">IF(AND(A180&lt;=$F$10, X180&gt;0), X180*$B$23, 0)</f>
        <v>0</v>
      </c>
      <c r="Z180" s="1" t="n">
        <f aca="false">X180-Y180+IF(A180=$F$10+1, MAX(0, SUM(INDEX(Y:Y,31):INDEX(Y:Y,30+$F$10)) - ('1. Press Assumptions'!$D$93*'1. Press Assumptions'!$E$93 - '1. Press Assumptions'!$D$93*0.1154*0.5)), 0)</f>
        <v>1.95599968803361</v>
      </c>
      <c r="AA180" s="1" t="n">
        <f aca="false">IF(AND(A180=$B$19, $B$21=1), O180*$B$20, 0)</f>
        <v>0</v>
      </c>
      <c r="AB180" s="1" t="n">
        <f aca="false">AB179+Z180+AA180</f>
        <v>457.960861957734</v>
      </c>
    </row>
    <row r="181" customFormat="false" ht="15" hidden="false" customHeight="true" outlineLevel="0" collapsed="false">
      <c r="A181" s="1" t="n">
        <v>151</v>
      </c>
      <c r="B181" s="1" t="n">
        <f aca="false">CEILING(A181/12,1)</f>
        <v>13</v>
      </c>
      <c r="C181" s="1" t="n">
        <f aca="false">IF(A181&lt;=18, $B$15/12, 0)</f>
        <v>0</v>
      </c>
      <c r="D181" s="1" t="n">
        <f aca="false">INDEX('26. Team Comp'!$D$28:$R$28, B181) * 0.001 / 12</f>
        <v>0.636416666666667</v>
      </c>
      <c r="E181" s="1" t="n">
        <f aca="false"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>0</v>
      </c>
      <c r="F181" s="1" t="n">
        <f aca="false">IF(A181&lt;$F$6, 0, IF(AND($B$21=1, A181&gt;$B$19), 0, $E$6 * $G$6^((A181-$F$6)/12)))</f>
        <v>13.3368778467156</v>
      </c>
      <c r="G181" s="1" t="n">
        <f aca="false">IF(A181&lt;$F$7, 0, IF(AND($B$21=1, A181&gt;$B$19), 0, $E$7 * $G$7^((A181-$F$7)/12)))</f>
        <v>7.1230049501274</v>
      </c>
      <c r="H181" s="1" t="n">
        <f aca="false">IF(A181&lt;$F$8, 0, IF(AND($B$21=1, A181&gt;$B$19), 0, $E$8 * $G$8^((A181-$F$8)/12)))</f>
        <v>3.80518606983065</v>
      </c>
      <c r="I181" s="1" t="n">
        <f aca="false">IF(A181&lt;$F$9, 0, IF(AND($B$21=1, A181&gt;$B$19), 0, $E$9 * $G$9^((A181-$F$9)/12)))</f>
        <v>4.01701009329193</v>
      </c>
      <c r="J181" s="1" t="n">
        <f aca="false">IF(A181&lt;$F$10, 0, IF(AND($B$21=1, A181&gt;$B$19), 0, $E$10 * $G$10^((A181-$F$10)/12)))</f>
        <v>10.8234302867304</v>
      </c>
      <c r="K181" s="1" t="n">
        <f aca="false">IF(A181&lt;$F$11, 0, IF(AND($B$21=1, A181&gt;$B$19), 0, $E$11 * $G$11^((A181-$F$11)/12)))</f>
        <v>0</v>
      </c>
      <c r="L181" s="1" t="n">
        <f aca="false">IF(A181&lt;$F$12, 0, IF(AND($B$21=1, A181&gt;$B$19), 0, $E$12 * $G$12^((A181-$F$12)/12)))</f>
        <v>0</v>
      </c>
      <c r="M181" s="1" t="n">
        <f aca="false">IF(A181&lt;$F$13, 0, IF(AND($B$21=1, A181&gt;$B$19), 0, $E$13 * $G$13^((A181-$F$13)/12)))</f>
        <v>0</v>
      </c>
      <c r="N181" s="1" t="n">
        <f aca="false">IF(A181&lt;$F$14, 0, IF(AND($B$21=1, A181&gt;$B$19), 0, $E$14 * $G$14^((A181-$F$14)/12)))</f>
        <v>0</v>
      </c>
      <c r="O181" s="1" t="n">
        <f aca="false">SUM(F181:N181)</f>
        <v>39.1055092466961</v>
      </c>
      <c r="P181" s="1" t="n">
        <f aca="false">O181/12</f>
        <v>3.25879243722467</v>
      </c>
      <c r="Q181" s="1" t="n">
        <f aca="false">P181*$B$8</f>
        <v>0.325879243722467</v>
      </c>
      <c r="R181" s="1" t="n">
        <f aca="false">P181*$B$9</f>
        <v>0.162939621861234</v>
      </c>
      <c r="S181" s="1" t="n">
        <f aca="false">P181*$B$10</f>
        <v>0.19552754623348</v>
      </c>
      <c r="T181" s="1" t="n">
        <f aca="false">P181-Q181-R181-S181-D181-E181</f>
        <v>1.93802935874082</v>
      </c>
      <c r="U181" s="1" t="n">
        <f aca="false">MAX(0, T181 - $B$7*P181)</f>
        <v>0</v>
      </c>
      <c r="V181" s="1" t="n">
        <f aca="false">T181-U181</f>
        <v>1.93802935874082</v>
      </c>
      <c r="W181" s="1" t="n">
        <f aca="false"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>0</v>
      </c>
      <c r="X181" s="1" t="n">
        <f aca="false">V181-W181-C181</f>
        <v>1.93802935874082</v>
      </c>
      <c r="Y181" s="1" t="n">
        <f aca="false">IF(AND(A181&lt;=$F$10, X181&gt;0), X181*$B$23, 0)</f>
        <v>0</v>
      </c>
      <c r="Z181" s="1" t="n">
        <f aca="false">X181-Y181+IF(A181=$F$10+1, MAX(0, SUM(INDEX(Y:Y,31):INDEX(Y:Y,30+$F$10)) - ('1. Press Assumptions'!$D$93*'1. Press Assumptions'!$E$93 - '1. Press Assumptions'!$D$93*0.1154*0.5)), 0)</f>
        <v>1.93802935874082</v>
      </c>
      <c r="AA181" s="1" t="n">
        <f aca="false">IF(AND(A181=$B$19, $B$21=1), O181*$B$20, 0)</f>
        <v>0</v>
      </c>
      <c r="AB181" s="1" t="n">
        <f aca="false">AB180+Z181+AA181</f>
        <v>459.898891316474</v>
      </c>
    </row>
    <row r="182" customFormat="false" ht="15" hidden="false" customHeight="true" outlineLevel="0" collapsed="false">
      <c r="A182" s="1" t="n">
        <v>152</v>
      </c>
      <c r="B182" s="1" t="n">
        <f aca="false">CEILING(A182/12,1)</f>
        <v>13</v>
      </c>
      <c r="C182" s="1" t="n">
        <f aca="false">IF(A182&lt;=18, $B$15/12, 0)</f>
        <v>0</v>
      </c>
      <c r="D182" s="1" t="n">
        <f aca="false">INDEX('26. Team Comp'!$D$28:$R$28, B182) * 0.001 / 12</f>
        <v>0.636416666666667</v>
      </c>
      <c r="E182" s="1" t="n">
        <f aca="false"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>0</v>
      </c>
      <c r="F182" s="1" t="n">
        <f aca="false">IF(A182&lt;$F$6, 0, IF(AND($B$21=1, A182&gt;$B$19), 0, $E$6 * $G$6^((A182-$F$6)/12)))</f>
        <v>13.279991811202</v>
      </c>
      <c r="G182" s="1" t="n">
        <f aca="false">IF(A182&lt;$F$7, 0, IF(AND($B$21=1, A182&gt;$B$19), 0, $E$7 * $G$7^((A182-$F$7)/12)))</f>
        <v>7.060738412025</v>
      </c>
      <c r="H182" s="1" t="n">
        <f aca="false">IF(A182&lt;$F$8, 0, IF(AND($B$21=1, A182&gt;$B$19), 0, $E$8 * $G$8^((A182-$F$8)/12)))</f>
        <v>3.75399890844899</v>
      </c>
      <c r="I182" s="1" t="n">
        <f aca="false">IF(A182&lt;$F$9, 0, IF(AND($B$21=1, A182&gt;$B$19), 0, $E$9 * $G$9^((A182-$F$9)/12)))</f>
        <v>3.96297348637082</v>
      </c>
      <c r="J182" s="1" t="n">
        <f aca="false">IF(A182&lt;$F$10, 0, IF(AND($B$21=1, A182&gt;$B$19), 0, $E$10 * $G$10^((A182-$F$10)/12)))</f>
        <v>10.7772649062908</v>
      </c>
      <c r="K182" s="1" t="n">
        <f aca="false">IF(A182&lt;$F$11, 0, IF(AND($B$21=1, A182&gt;$B$19), 0, $E$11 * $G$11^((A182-$F$11)/12)))</f>
        <v>0</v>
      </c>
      <c r="L182" s="1" t="n">
        <f aca="false">IF(A182&lt;$F$12, 0, IF(AND($B$21=1, A182&gt;$B$19), 0, $E$12 * $G$12^((A182-$F$12)/12)))</f>
        <v>0</v>
      </c>
      <c r="M182" s="1" t="n">
        <f aca="false">IF(A182&lt;$F$13, 0, IF(AND($B$21=1, A182&gt;$B$19), 0, $E$13 * $G$13^((A182-$F$13)/12)))</f>
        <v>0</v>
      </c>
      <c r="N182" s="1" t="n">
        <f aca="false">IF(A182&lt;$F$14, 0, IF(AND($B$21=1, A182&gt;$B$19), 0, $E$14 * $G$14^((A182-$F$14)/12)))</f>
        <v>0</v>
      </c>
      <c r="O182" s="1" t="n">
        <f aca="false">SUM(F182:N182)</f>
        <v>38.8349675243377</v>
      </c>
      <c r="P182" s="1" t="n">
        <f aca="false">O182/12</f>
        <v>3.2362472936948</v>
      </c>
      <c r="Q182" s="1" t="n">
        <f aca="false">P182*$B$8</f>
        <v>0.32362472936948</v>
      </c>
      <c r="R182" s="1" t="n">
        <f aca="false">P182*$B$9</f>
        <v>0.16181236468474</v>
      </c>
      <c r="S182" s="1" t="n">
        <f aca="false">P182*$B$10</f>
        <v>0.194174837621688</v>
      </c>
      <c r="T182" s="1" t="n">
        <f aca="false">P182-Q182-R182-S182-D182-E182</f>
        <v>1.92021869535223</v>
      </c>
      <c r="U182" s="1" t="n">
        <f aca="false">MAX(0, T182 - $B$7*P182)</f>
        <v>0</v>
      </c>
      <c r="V182" s="1" t="n">
        <f aca="false">T182-U182</f>
        <v>1.92021869535223</v>
      </c>
      <c r="W182" s="1" t="n">
        <f aca="false"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>0</v>
      </c>
      <c r="X182" s="1" t="n">
        <f aca="false">V182-W182-C182</f>
        <v>1.92021869535223</v>
      </c>
      <c r="Y182" s="1" t="n">
        <f aca="false">IF(AND(A182&lt;=$F$10, X182&gt;0), X182*$B$23, 0)</f>
        <v>0</v>
      </c>
      <c r="Z182" s="1" t="n">
        <f aca="false">X182-Y182+IF(A182=$F$10+1, MAX(0, SUM(INDEX(Y:Y,31):INDEX(Y:Y,30+$F$10)) - ('1. Press Assumptions'!$D$93*'1. Press Assumptions'!$E$93 - '1. Press Assumptions'!$D$93*0.1154*0.5)), 0)</f>
        <v>1.92021869535223</v>
      </c>
      <c r="AA182" s="1" t="n">
        <f aca="false">IF(AND(A182=$B$19, $B$21=1), O182*$B$20, 0)</f>
        <v>0</v>
      </c>
      <c r="AB182" s="1" t="n">
        <f aca="false">AB181+Z182+AA182</f>
        <v>461.819110011827</v>
      </c>
    </row>
    <row r="183" customFormat="false" ht="15" hidden="false" customHeight="true" outlineLevel="0" collapsed="false">
      <c r="A183" s="1" t="n">
        <v>153</v>
      </c>
      <c r="B183" s="1" t="n">
        <f aca="false">CEILING(A183/12,1)</f>
        <v>13</v>
      </c>
      <c r="C183" s="1" t="n">
        <f aca="false">IF(A183&lt;=18, $B$15/12, 0)</f>
        <v>0</v>
      </c>
      <c r="D183" s="1" t="n">
        <f aca="false">INDEX('26. Team Comp'!$D$28:$R$28, B183) * 0.001 / 12</f>
        <v>0.636416666666667</v>
      </c>
      <c r="E183" s="1" t="n">
        <f aca="false"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>0</v>
      </c>
      <c r="F183" s="1" t="n">
        <f aca="false">IF(A183&lt;$F$6, 0, IF(AND($B$21=1, A183&gt;$B$19), 0, $E$6 * $G$6^((A183-$F$6)/12)))</f>
        <v>13.2233484127638</v>
      </c>
      <c r="G183" s="1" t="n">
        <f aca="false">IF(A183&lt;$F$7, 0, IF(AND($B$21=1, A183&gt;$B$19), 0, $E$7 * $G$7^((A183-$F$7)/12)))</f>
        <v>6.9990161837742</v>
      </c>
      <c r="H183" s="1" t="n">
        <f aca="false">IF(A183&lt;$F$8, 0, IF(AND($B$21=1, A183&gt;$B$19), 0, $E$8 * $G$8^((A183-$F$8)/12)))</f>
        <v>3.70350031404992</v>
      </c>
      <c r="I183" s="1" t="n">
        <f aca="false">IF(A183&lt;$F$9, 0, IF(AND($B$21=1, A183&gt;$B$19), 0, $E$9 * $G$9^((A183-$F$9)/12)))</f>
        <v>3.90966377702272</v>
      </c>
      <c r="J183" s="1" t="n">
        <f aca="false">IF(A183&lt;$F$10, 0, IF(AND($B$21=1, A183&gt;$B$19), 0, $E$10 * $G$10^((A183-$F$10)/12)))</f>
        <v>10.7312964359153</v>
      </c>
      <c r="K183" s="1" t="n">
        <f aca="false">IF(A183&lt;$F$11, 0, IF(AND($B$21=1, A183&gt;$B$19), 0, $E$11 * $G$11^((A183-$F$11)/12)))</f>
        <v>0</v>
      </c>
      <c r="L183" s="1" t="n">
        <f aca="false">IF(A183&lt;$F$12, 0, IF(AND($B$21=1, A183&gt;$B$19), 0, $E$12 * $G$12^((A183-$F$12)/12)))</f>
        <v>0</v>
      </c>
      <c r="M183" s="1" t="n">
        <f aca="false">IF(A183&lt;$F$13, 0, IF(AND($B$21=1, A183&gt;$B$19), 0, $E$13 * $G$13^((A183-$F$13)/12)))</f>
        <v>0</v>
      </c>
      <c r="N183" s="1" t="n">
        <f aca="false">IF(A183&lt;$F$14, 0, IF(AND($B$21=1, A183&gt;$B$19), 0, $E$14 * $G$14^((A183-$F$14)/12)))</f>
        <v>0</v>
      </c>
      <c r="O183" s="1" t="n">
        <f aca="false">SUM(F183:N183)</f>
        <v>38.566825123526</v>
      </c>
      <c r="P183" s="1" t="n">
        <f aca="false">O183/12</f>
        <v>3.21390209362716</v>
      </c>
      <c r="Q183" s="1" t="n">
        <f aca="false">P183*$B$8</f>
        <v>0.321390209362716</v>
      </c>
      <c r="R183" s="1" t="n">
        <f aca="false">P183*$B$9</f>
        <v>0.160695104681358</v>
      </c>
      <c r="S183" s="1" t="n">
        <f aca="false">P183*$B$10</f>
        <v>0.19283412561763</v>
      </c>
      <c r="T183" s="1" t="n">
        <f aca="false">P183-Q183-R183-S183-D183-E183</f>
        <v>1.90256598729879</v>
      </c>
      <c r="U183" s="1" t="n">
        <f aca="false">MAX(0, T183 - $B$7*P183)</f>
        <v>0</v>
      </c>
      <c r="V183" s="1" t="n">
        <f aca="false">T183-U183</f>
        <v>1.90256598729879</v>
      </c>
      <c r="W183" s="1" t="n">
        <f aca="false"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>0</v>
      </c>
      <c r="X183" s="1" t="n">
        <f aca="false">V183-W183-C183</f>
        <v>1.90256598729879</v>
      </c>
      <c r="Y183" s="1" t="n">
        <f aca="false">IF(AND(A183&lt;=$F$10, X183&gt;0), X183*$B$23, 0)</f>
        <v>0</v>
      </c>
      <c r="Z183" s="1" t="n">
        <f aca="false">X183-Y183+IF(A183=$F$10+1, MAX(0, SUM(INDEX(Y:Y,31):INDEX(Y:Y,30+$F$10)) - ('1. Press Assumptions'!$D$93*'1. Press Assumptions'!$E$93 - '1. Press Assumptions'!$D$93*0.1154*0.5)), 0)</f>
        <v>1.90256598729879</v>
      </c>
      <c r="AA183" s="1" t="n">
        <f aca="false">IF(AND(A183=$B$19, $B$21=1), O183*$B$20, 0)</f>
        <v>0</v>
      </c>
      <c r="AB183" s="1" t="n">
        <f aca="false">AB182+Z183+AA183</f>
        <v>463.721675999125</v>
      </c>
    </row>
    <row r="184" customFormat="false" ht="15" hidden="false" customHeight="true" outlineLevel="0" collapsed="false">
      <c r="A184" s="1" t="n">
        <v>154</v>
      </c>
      <c r="B184" s="1" t="n">
        <f aca="false">CEILING(A184/12,1)</f>
        <v>13</v>
      </c>
      <c r="C184" s="1" t="n">
        <f aca="false">IF(A184&lt;=18, $B$15/12, 0)</f>
        <v>0</v>
      </c>
      <c r="D184" s="1" t="n">
        <f aca="false">INDEX('26. Team Comp'!$D$28:$R$28, B184) * 0.001 / 12</f>
        <v>0.636416666666667</v>
      </c>
      <c r="E184" s="1" t="n">
        <f aca="false"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>0</v>
      </c>
      <c r="F184" s="1" t="n">
        <f aca="false">IF(A184&lt;$F$6, 0, IF(AND($B$21=1, A184&gt;$B$19), 0, $E$6 * $G$6^((A184-$F$6)/12)))</f>
        <v>13.1669466164767</v>
      </c>
      <c r="G184" s="1" t="n">
        <f aca="false">IF(A184&lt;$F$7, 0, IF(AND($B$21=1, A184&gt;$B$19), 0, $E$7 * $G$7^((A184-$F$7)/12)))</f>
        <v>6.93783350723002</v>
      </c>
      <c r="H184" s="1" t="n">
        <f aca="false">IF(A184&lt;$F$8, 0, IF(AND($B$21=1, A184&gt;$B$19), 0, $E$8 * $G$8^((A184-$F$8)/12)))</f>
        <v>3.65368102406688</v>
      </c>
      <c r="I184" s="1" t="n">
        <f aca="false">IF(A184&lt;$F$9, 0, IF(AND($B$21=1, A184&gt;$B$19), 0, $E$9 * $G$9^((A184-$F$9)/12)))</f>
        <v>3.85707118705999</v>
      </c>
      <c r="J184" s="1" t="n">
        <f aca="false">IF(A184&lt;$F$10, 0, IF(AND($B$21=1, A184&gt;$B$19), 0, $E$10 * $G$10^((A184-$F$10)/12)))</f>
        <v>10.6855240357196</v>
      </c>
      <c r="K184" s="1" t="n">
        <f aca="false">IF(A184&lt;$F$11, 0, IF(AND($B$21=1, A184&gt;$B$19), 0, $E$11 * $G$11^((A184-$F$11)/12)))</f>
        <v>0</v>
      </c>
      <c r="L184" s="1" t="n">
        <f aca="false">IF(A184&lt;$F$12, 0, IF(AND($B$21=1, A184&gt;$B$19), 0, $E$12 * $G$12^((A184-$F$12)/12)))</f>
        <v>0</v>
      </c>
      <c r="M184" s="1" t="n">
        <f aca="false">IF(A184&lt;$F$13, 0, IF(AND($B$21=1, A184&gt;$B$19), 0, $E$13 * $G$13^((A184-$F$13)/12)))</f>
        <v>0</v>
      </c>
      <c r="N184" s="1" t="n">
        <f aca="false">IF(A184&lt;$F$14, 0, IF(AND($B$21=1, A184&gt;$B$19), 0, $E$14 * $G$14^((A184-$F$14)/12)))</f>
        <v>0</v>
      </c>
      <c r="O184" s="1" t="n">
        <f aca="false">SUM(F184:N184)</f>
        <v>38.3010563705531</v>
      </c>
      <c r="P184" s="1" t="n">
        <f aca="false">O184/12</f>
        <v>3.19175469754609</v>
      </c>
      <c r="Q184" s="1" t="n">
        <f aca="false">P184*$B$8</f>
        <v>0.319175469754609</v>
      </c>
      <c r="R184" s="1" t="n">
        <f aca="false">P184*$B$9</f>
        <v>0.159587734877305</v>
      </c>
      <c r="S184" s="1" t="n">
        <f aca="false">P184*$B$10</f>
        <v>0.191505281852766</v>
      </c>
      <c r="T184" s="1" t="n">
        <f aca="false">P184-Q184-R184-S184-D184-E184</f>
        <v>1.88506954439475</v>
      </c>
      <c r="U184" s="1" t="n">
        <f aca="false">MAX(0, T184 - $B$7*P184)</f>
        <v>0</v>
      </c>
      <c r="V184" s="1" t="n">
        <f aca="false">T184-U184</f>
        <v>1.88506954439475</v>
      </c>
      <c r="W184" s="1" t="n">
        <f aca="false"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>0</v>
      </c>
      <c r="X184" s="1" t="n">
        <f aca="false">V184-W184-C184</f>
        <v>1.88506954439475</v>
      </c>
      <c r="Y184" s="1" t="n">
        <f aca="false">IF(AND(A184&lt;=$F$10, X184&gt;0), X184*$B$23, 0)</f>
        <v>0</v>
      </c>
      <c r="Z184" s="1" t="n">
        <f aca="false">X184-Y184+IF(A184=$F$10+1, MAX(0, SUM(INDEX(Y:Y,31):INDEX(Y:Y,30+$F$10)) - ('1. Press Assumptions'!$D$93*'1. Press Assumptions'!$E$93 - '1. Press Assumptions'!$D$93*0.1154*0.5)), 0)</f>
        <v>1.88506954439475</v>
      </c>
      <c r="AA184" s="1" t="n">
        <f aca="false">IF(AND(A184=$B$19, $B$21=1), O184*$B$20, 0)</f>
        <v>0</v>
      </c>
      <c r="AB184" s="1" t="n">
        <f aca="false">AB183+Z184+AA184</f>
        <v>465.60674554352</v>
      </c>
    </row>
    <row r="185" customFormat="false" ht="15" hidden="false" customHeight="true" outlineLevel="0" collapsed="false">
      <c r="A185" s="1" t="n">
        <v>155</v>
      </c>
      <c r="B185" s="1" t="n">
        <f aca="false">CEILING(A185/12,1)</f>
        <v>13</v>
      </c>
      <c r="C185" s="1" t="n">
        <f aca="false">IF(A185&lt;=18, $B$15/12, 0)</f>
        <v>0</v>
      </c>
      <c r="D185" s="1" t="n">
        <f aca="false">INDEX('26. Team Comp'!$D$28:$R$28, B185) * 0.001 / 12</f>
        <v>0.636416666666667</v>
      </c>
      <c r="E185" s="1" t="n">
        <f aca="false"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>0</v>
      </c>
      <c r="F185" s="1" t="n">
        <f aca="false">IF(A185&lt;$F$6, 0, IF(AND($B$21=1, A185&gt;$B$19), 0, $E$6 * $G$6^((A185-$F$6)/12)))</f>
        <v>13.1107853918303</v>
      </c>
      <c r="G185" s="1" t="n">
        <f aca="false">IF(A185&lt;$F$7, 0, IF(AND($B$21=1, A185&gt;$B$19), 0, $E$7 * $G$7^((A185-$F$7)/12)))</f>
        <v>6.87718566584135</v>
      </c>
      <c r="H185" s="1" t="n">
        <f aca="false">IF(A185&lt;$F$8, 0, IF(AND($B$21=1, A185&gt;$B$19), 0, $E$8 * $G$8^((A185-$F$8)/12)))</f>
        <v>3.60453190053286</v>
      </c>
      <c r="I185" s="1" t="n">
        <f aca="false">IF(A185&lt;$F$9, 0, IF(AND($B$21=1, A185&gt;$B$19), 0, $E$9 * $G$9^((A185-$F$9)/12)))</f>
        <v>3.80518606983065</v>
      </c>
      <c r="J185" s="1" t="n">
        <f aca="false">IF(A185&lt;$F$10, 0, IF(AND($B$21=1, A185&gt;$B$19), 0, $E$10 * $G$10^((A185-$F$10)/12)))</f>
        <v>10.639946869402</v>
      </c>
      <c r="K185" s="1" t="n">
        <f aca="false">IF(A185&lt;$F$11, 0, IF(AND($B$21=1, A185&gt;$B$19), 0, $E$11 * $G$11^((A185-$F$11)/12)))</f>
        <v>0</v>
      </c>
      <c r="L185" s="1" t="n">
        <f aca="false">IF(A185&lt;$F$12, 0, IF(AND($B$21=1, A185&gt;$B$19), 0, $E$12 * $G$12^((A185-$F$12)/12)))</f>
        <v>0</v>
      </c>
      <c r="M185" s="1" t="n">
        <f aca="false">IF(A185&lt;$F$13, 0, IF(AND($B$21=1, A185&gt;$B$19), 0, $E$13 * $G$13^((A185-$F$13)/12)))</f>
        <v>0</v>
      </c>
      <c r="N185" s="1" t="n">
        <f aca="false">IF(A185&lt;$F$14, 0, IF(AND($B$21=1, A185&gt;$B$19), 0, $E$14 * $G$14^((A185-$F$14)/12)))</f>
        <v>0</v>
      </c>
      <c r="O185" s="1" t="n">
        <f aca="false">SUM(F185:N185)</f>
        <v>38.0376358974371</v>
      </c>
      <c r="P185" s="1" t="n">
        <f aca="false">O185/12</f>
        <v>3.16980299145309</v>
      </c>
      <c r="Q185" s="1" t="n">
        <f aca="false">P185*$B$8</f>
        <v>0.316980299145309</v>
      </c>
      <c r="R185" s="1" t="n">
        <f aca="false">P185*$B$9</f>
        <v>0.158490149572655</v>
      </c>
      <c r="S185" s="1" t="n">
        <f aca="false">P185*$B$10</f>
        <v>0.190188179487185</v>
      </c>
      <c r="T185" s="1" t="n">
        <f aca="false">P185-Q185-R185-S185-D185-E185</f>
        <v>1.86772769658127</v>
      </c>
      <c r="U185" s="1" t="n">
        <f aca="false">MAX(0, T185 - $B$7*P185)</f>
        <v>0</v>
      </c>
      <c r="V185" s="1" t="n">
        <f aca="false">T185-U185</f>
        <v>1.86772769658127</v>
      </c>
      <c r="W185" s="1" t="n">
        <f aca="false"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>0</v>
      </c>
      <c r="X185" s="1" t="n">
        <f aca="false">V185-W185-C185</f>
        <v>1.86772769658127</v>
      </c>
      <c r="Y185" s="1" t="n">
        <f aca="false">IF(AND(A185&lt;=$F$10, X185&gt;0), X185*$B$23, 0)</f>
        <v>0</v>
      </c>
      <c r="Z185" s="1" t="n">
        <f aca="false">X185-Y185+IF(A185=$F$10+1, MAX(0, SUM(INDEX(Y:Y,31):INDEX(Y:Y,30+$F$10)) - ('1. Press Assumptions'!$D$93*'1. Press Assumptions'!$E$93 - '1. Press Assumptions'!$D$93*0.1154*0.5)), 0)</f>
        <v>1.86772769658127</v>
      </c>
      <c r="AA185" s="1" t="n">
        <f aca="false">IF(AND(A185=$B$19, $B$21=1), O185*$B$20, 0)</f>
        <v>0</v>
      </c>
      <c r="AB185" s="1" t="n">
        <f aca="false">AB184+Z185+AA185</f>
        <v>467.474473240101</v>
      </c>
    </row>
    <row r="186" customFormat="false" ht="15" hidden="false" customHeight="true" outlineLevel="0" collapsed="false">
      <c r="A186" s="1" t="n">
        <v>156</v>
      </c>
      <c r="B186" s="1" t="n">
        <f aca="false">CEILING(A186/12,1)</f>
        <v>13</v>
      </c>
      <c r="C186" s="1" t="n">
        <f aca="false">IF(A186&lt;=18, $B$15/12, 0)</f>
        <v>0</v>
      </c>
      <c r="D186" s="1" t="n">
        <f aca="false">INDEX('26. Team Comp'!$D$28:$R$28, B186) * 0.001 / 12</f>
        <v>0.636416666666667</v>
      </c>
      <c r="E186" s="1" t="n">
        <f aca="false"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>0</v>
      </c>
      <c r="F186" s="1" t="n">
        <f aca="false">IF(A186&lt;$F$6, 0, IF(AND($B$21=1, A186&gt;$B$19), 0, $E$6 * $G$6^((A186-$F$6)/12)))</f>
        <v>13.0548637127099</v>
      </c>
      <c r="G186" s="1" t="n">
        <f aca="false">IF(A186&lt;$F$7, 0, IF(AND($B$21=1, A186&gt;$B$19), 0, $E$7 * $G$7^((A186-$F$7)/12)))</f>
        <v>6.81706798428735</v>
      </c>
      <c r="H186" s="1" t="n">
        <f aca="false">IF(A186&lt;$F$8, 0, IF(AND($B$21=1, A186&gt;$B$19), 0, $E$8 * $G$8^((A186-$F$8)/12)))</f>
        <v>3.5560439284043</v>
      </c>
      <c r="I186" s="1" t="n">
        <f aca="false">IF(A186&lt;$F$9, 0, IF(AND($B$21=1, A186&gt;$B$19), 0, $E$9 * $G$9^((A186-$F$9)/12)))</f>
        <v>3.75399890844899</v>
      </c>
      <c r="J186" s="1" t="n">
        <f aca="false">IF(A186&lt;$F$10, 0, IF(AND($B$21=1, A186&gt;$B$19), 0, $E$10 * $G$10^((A186-$F$10)/12)))</f>
        <v>10.5945641042276</v>
      </c>
      <c r="K186" s="1" t="n">
        <f aca="false">IF(A186&lt;$F$11, 0, IF(AND($B$21=1, A186&gt;$B$19), 0, $E$11 * $G$11^((A186-$F$11)/12)))</f>
        <v>0</v>
      </c>
      <c r="L186" s="1" t="n">
        <f aca="false">IF(A186&lt;$F$12, 0, IF(AND($B$21=1, A186&gt;$B$19), 0, $E$12 * $G$12^((A186-$F$12)/12)))</f>
        <v>0</v>
      </c>
      <c r="M186" s="1" t="n">
        <f aca="false">IF(A186&lt;$F$13, 0, IF(AND($B$21=1, A186&gt;$B$19), 0, $E$13 * $G$13^((A186-$F$13)/12)))</f>
        <v>0</v>
      </c>
      <c r="N186" s="1" t="n">
        <f aca="false">IF(A186&lt;$F$14, 0, IF(AND($B$21=1, A186&gt;$B$19), 0, $E$14 * $G$14^((A186-$F$14)/12)))</f>
        <v>0</v>
      </c>
      <c r="O186" s="1" t="n">
        <f aca="false">SUM(F186:N186)</f>
        <v>37.7765386380782</v>
      </c>
      <c r="P186" s="1" t="n">
        <f aca="false">O186/12</f>
        <v>3.14804488650652</v>
      </c>
      <c r="Q186" s="1" t="n">
        <f aca="false">P186*$B$8</f>
        <v>0.314804488650652</v>
      </c>
      <c r="R186" s="1" t="n">
        <f aca="false">P186*$B$9</f>
        <v>0.157402244325326</v>
      </c>
      <c r="S186" s="1" t="n">
        <f aca="false">P186*$B$10</f>
        <v>0.188882693190391</v>
      </c>
      <c r="T186" s="1" t="n">
        <f aca="false">P186-Q186-R186-S186-D186-E186</f>
        <v>1.85053879367348</v>
      </c>
      <c r="U186" s="1" t="n">
        <f aca="false">MAX(0, T186 - $B$7*P186)</f>
        <v>0</v>
      </c>
      <c r="V186" s="1" t="n">
        <f aca="false">T186-U186</f>
        <v>1.85053879367348</v>
      </c>
      <c r="W186" s="1" t="n">
        <f aca="false"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>0</v>
      </c>
      <c r="X186" s="1" t="n">
        <f aca="false">V186-W186-C186</f>
        <v>1.85053879367348</v>
      </c>
      <c r="Y186" s="1" t="n">
        <f aca="false">IF(AND(A186&lt;=$F$10, X186&gt;0), X186*$B$23, 0)</f>
        <v>0</v>
      </c>
      <c r="Z186" s="1" t="n">
        <f aca="false">X186-Y186+IF(A186=$F$10+1, MAX(0, SUM(INDEX(Y:Y,31):INDEX(Y:Y,30+$F$10)) - ('1. Press Assumptions'!$D$93*'1. Press Assumptions'!$E$93 - '1. Press Assumptions'!$D$93*0.1154*0.5)), 0)</f>
        <v>1.85053879367348</v>
      </c>
      <c r="AA186" s="1" t="n">
        <f aca="false">IF(AND(A186=$B$19, $B$21=1), O186*$B$20, 0)</f>
        <v>0</v>
      </c>
      <c r="AB186" s="1" t="n">
        <f aca="false">AB185+Z186+AA186</f>
        <v>469.325012033775</v>
      </c>
    </row>
    <row r="187" customFormat="false" ht="15" hidden="false" customHeight="true" outlineLevel="0" collapsed="false">
      <c r="A187" s="1" t="n">
        <v>157</v>
      </c>
      <c r="B187" s="1" t="n">
        <f aca="false">CEILING(A187/12,1)</f>
        <v>14</v>
      </c>
      <c r="C187" s="1" t="n">
        <f aca="false">IF(A187&lt;=18, $B$15/12, 0)</f>
        <v>0</v>
      </c>
      <c r="D187" s="1" t="n">
        <f aca="false">INDEX('26. Team Comp'!$D$28:$R$28, B187) * 0.001 / 12</f>
        <v>0.636416666666667</v>
      </c>
      <c r="E187" s="1" t="n">
        <f aca="false"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>0</v>
      </c>
      <c r="F187" s="1" t="n">
        <f aca="false">IF(A187&lt;$F$6, 0, IF(AND($B$21=1, A187&gt;$B$19), 0, $E$6 * $G$6^((A187-$F$6)/12)))</f>
        <v>12.9991805573776</v>
      </c>
      <c r="G187" s="1" t="n">
        <f aca="false">IF(A187&lt;$F$7, 0, IF(AND($B$21=1, A187&gt;$B$19), 0, $E$7 * $G$7^((A187-$F$7)/12)))</f>
        <v>6.75747582811699</v>
      </c>
      <c r="H187" s="1" t="n">
        <f aca="false">IF(A187&lt;$F$8, 0, IF(AND($B$21=1, A187&gt;$B$19), 0, $E$8 * $G$8^((A187-$F$8)/12)))</f>
        <v>3.50820821390753</v>
      </c>
      <c r="I187" s="1" t="n">
        <f aca="false">IF(A187&lt;$F$9, 0, IF(AND($B$21=1, A187&gt;$B$19), 0, $E$9 * $G$9^((A187-$F$9)/12)))</f>
        <v>3.70350031404992</v>
      </c>
      <c r="J187" s="1" t="n">
        <f aca="false">IF(A187&lt;$F$10, 0, IF(AND($B$21=1, A187&gt;$B$19), 0, $E$10 * $G$10^((A187-$F$10)/12)))</f>
        <v>10.5493749110138</v>
      </c>
      <c r="K187" s="1" t="n">
        <f aca="false">IF(A187&lt;$F$11, 0, IF(AND($B$21=1, A187&gt;$B$19), 0, $E$11 * $G$11^((A187-$F$11)/12)))</f>
        <v>0</v>
      </c>
      <c r="L187" s="1" t="n">
        <f aca="false">IF(A187&lt;$F$12, 0, IF(AND($B$21=1, A187&gt;$B$19), 0, $E$12 * $G$12^((A187-$F$12)/12)))</f>
        <v>0</v>
      </c>
      <c r="M187" s="1" t="n">
        <f aca="false">IF(A187&lt;$F$13, 0, IF(AND($B$21=1, A187&gt;$B$19), 0, $E$13 * $G$13^((A187-$F$13)/12)))</f>
        <v>0</v>
      </c>
      <c r="N187" s="1" t="n">
        <f aca="false">IF(A187&lt;$F$14, 0, IF(AND($B$21=1, A187&gt;$B$19), 0, $E$14 * $G$14^((A187-$F$14)/12)))</f>
        <v>0</v>
      </c>
      <c r="O187" s="1" t="n">
        <f aca="false">SUM(F187:N187)</f>
        <v>37.5177398244659</v>
      </c>
      <c r="P187" s="1" t="n">
        <f aca="false">O187/12</f>
        <v>3.12647831870549</v>
      </c>
      <c r="Q187" s="1" t="n">
        <f aca="false">P187*$B$8</f>
        <v>0.312647831870549</v>
      </c>
      <c r="R187" s="1" t="n">
        <f aca="false">P187*$B$9</f>
        <v>0.156323915935274</v>
      </c>
      <c r="S187" s="1" t="n">
        <f aca="false">P187*$B$10</f>
        <v>0.187588699122329</v>
      </c>
      <c r="T187" s="1" t="n">
        <f aca="false">P187-Q187-R187-S187-D187-E187</f>
        <v>1.83350120511067</v>
      </c>
      <c r="U187" s="1" t="n">
        <f aca="false">MAX(0, T187 - $B$7*P187)</f>
        <v>0</v>
      </c>
      <c r="V187" s="1" t="n">
        <f aca="false">T187-U187</f>
        <v>1.83350120511067</v>
      </c>
      <c r="W187" s="1" t="n">
        <f aca="false"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>0</v>
      </c>
      <c r="X187" s="1" t="n">
        <f aca="false">V187-W187-C187</f>
        <v>1.83350120511067</v>
      </c>
      <c r="Y187" s="1" t="n">
        <f aca="false">IF(AND(A187&lt;=$F$10, X187&gt;0), X187*$B$23, 0)</f>
        <v>0</v>
      </c>
      <c r="Z187" s="1" t="n">
        <f aca="false">X187-Y187+IF(A187=$F$10+1, MAX(0, SUM(INDEX(Y:Y,31):INDEX(Y:Y,30+$F$10)) - ('1. Press Assumptions'!$D$93*'1. Press Assumptions'!$E$93 - '1. Press Assumptions'!$D$93*0.1154*0.5)), 0)</f>
        <v>1.83350120511067</v>
      </c>
      <c r="AA187" s="1" t="n">
        <f aca="false">IF(AND(A187=$B$19, $B$21=1), O187*$B$20, 0)</f>
        <v>0</v>
      </c>
      <c r="AB187" s="1" t="n">
        <f aca="false">AB186+Z187+AA187</f>
        <v>471.158513238886</v>
      </c>
    </row>
    <row r="188" customFormat="false" ht="15" hidden="false" customHeight="true" outlineLevel="0" collapsed="false">
      <c r="A188" s="1" t="n">
        <v>158</v>
      </c>
      <c r="B188" s="1" t="n">
        <f aca="false">CEILING(A188/12,1)</f>
        <v>14</v>
      </c>
      <c r="C188" s="1" t="n">
        <f aca="false">IF(A188&lt;=18, $B$15/12, 0)</f>
        <v>0</v>
      </c>
      <c r="D188" s="1" t="n">
        <f aca="false">INDEX('26. Team Comp'!$D$28:$R$28, B188) * 0.001 / 12</f>
        <v>0.636416666666667</v>
      </c>
      <c r="E188" s="1" t="n">
        <f aca="false"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>0</v>
      </c>
      <c r="F188" s="1" t="n">
        <f aca="false">IF(A188&lt;$F$6, 0, IF(AND($B$21=1, A188&gt;$B$19), 0, $E$6 * $G$6^((A188-$F$6)/12)))</f>
        <v>12.9437349084533</v>
      </c>
      <c r="G188" s="1" t="n">
        <f aca="false">IF(A188&lt;$F$7, 0, IF(AND($B$21=1, A188&gt;$B$19), 0, $E$7 * $G$7^((A188-$F$7)/12)))</f>
        <v>6.69840460339183</v>
      </c>
      <c r="H188" s="1" t="n">
        <f aca="false">IF(A188&lt;$F$8, 0, IF(AND($B$21=1, A188&gt;$B$19), 0, $E$8 * $G$8^((A188-$F$8)/12)))</f>
        <v>3.46101598290744</v>
      </c>
      <c r="I188" s="1" t="n">
        <f aca="false">IF(A188&lt;$F$9, 0, IF(AND($B$21=1, A188&gt;$B$19), 0, $E$9 * $G$9^((A188-$F$9)/12)))</f>
        <v>3.65368102406688</v>
      </c>
      <c r="J188" s="1" t="n">
        <f aca="false">IF(A188&lt;$F$10, 0, IF(AND($B$21=1, A188&gt;$B$19), 0, $E$10 * $G$10^((A188-$F$10)/12)))</f>
        <v>10.5043784641143</v>
      </c>
      <c r="K188" s="1" t="n">
        <f aca="false">IF(A188&lt;$F$11, 0, IF(AND($B$21=1, A188&gt;$B$19), 0, $E$11 * $G$11^((A188-$F$11)/12)))</f>
        <v>0</v>
      </c>
      <c r="L188" s="1" t="n">
        <f aca="false">IF(A188&lt;$F$12, 0, IF(AND($B$21=1, A188&gt;$B$19), 0, $E$12 * $G$12^((A188-$F$12)/12)))</f>
        <v>0</v>
      </c>
      <c r="M188" s="1" t="n">
        <f aca="false">IF(A188&lt;$F$13, 0, IF(AND($B$21=1, A188&gt;$B$19), 0, $E$13 * $G$13^((A188-$F$13)/12)))</f>
        <v>0</v>
      </c>
      <c r="N188" s="1" t="n">
        <f aca="false">IF(A188&lt;$F$14, 0, IF(AND($B$21=1, A188&gt;$B$19), 0, $E$14 * $G$14^((A188-$F$14)/12)))</f>
        <v>0</v>
      </c>
      <c r="O188" s="1" t="n">
        <f aca="false">SUM(F188:N188)</f>
        <v>37.2612149829338</v>
      </c>
      <c r="P188" s="1" t="n">
        <f aca="false">O188/12</f>
        <v>3.10510124857782</v>
      </c>
      <c r="Q188" s="1" t="n">
        <f aca="false">P188*$B$8</f>
        <v>0.310510124857782</v>
      </c>
      <c r="R188" s="1" t="n">
        <f aca="false">P188*$B$9</f>
        <v>0.155255062428891</v>
      </c>
      <c r="S188" s="1" t="n">
        <f aca="false">P188*$B$10</f>
        <v>0.186306074914669</v>
      </c>
      <c r="T188" s="1" t="n">
        <f aca="false">P188-Q188-R188-S188-D188-E188</f>
        <v>1.81661331970981</v>
      </c>
      <c r="U188" s="1" t="n">
        <f aca="false">MAX(0, T188 - $B$7*P188)</f>
        <v>0</v>
      </c>
      <c r="V188" s="1" t="n">
        <f aca="false">T188-U188</f>
        <v>1.81661331970981</v>
      </c>
      <c r="W188" s="1" t="n">
        <f aca="false"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>0</v>
      </c>
      <c r="X188" s="1" t="n">
        <f aca="false">V188-W188-C188</f>
        <v>1.81661331970981</v>
      </c>
      <c r="Y188" s="1" t="n">
        <f aca="false">IF(AND(A188&lt;=$F$10, X188&gt;0), X188*$B$23, 0)</f>
        <v>0</v>
      </c>
      <c r="Z188" s="1" t="n">
        <f aca="false">X188-Y188+IF(A188=$F$10+1, MAX(0, SUM(INDEX(Y:Y,31):INDEX(Y:Y,30+$F$10)) - ('1. Press Assumptions'!$D$93*'1. Press Assumptions'!$E$93 - '1. Press Assumptions'!$D$93*0.1154*0.5)), 0)</f>
        <v>1.81661331970981</v>
      </c>
      <c r="AA188" s="1" t="n">
        <f aca="false">IF(AND(A188=$B$19, $B$21=1), O188*$B$20, 0)</f>
        <v>0</v>
      </c>
      <c r="AB188" s="1" t="n">
        <f aca="false">AB187+Z188+AA188</f>
        <v>472.975126558595</v>
      </c>
    </row>
    <row r="189" customFormat="false" ht="15" hidden="false" customHeight="true" outlineLevel="0" collapsed="false">
      <c r="A189" s="1" t="n">
        <v>159</v>
      </c>
      <c r="B189" s="1" t="n">
        <f aca="false">CEILING(A189/12,1)</f>
        <v>14</v>
      </c>
      <c r="C189" s="1" t="n">
        <f aca="false">IF(A189&lt;=18, $B$15/12, 0)</f>
        <v>0</v>
      </c>
      <c r="D189" s="1" t="n">
        <f aca="false">INDEX('26. Team Comp'!$D$28:$R$28, B189) * 0.001 / 12</f>
        <v>0.636416666666667</v>
      </c>
      <c r="E189" s="1" t="n">
        <f aca="false"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>0</v>
      </c>
      <c r="F189" s="1" t="n">
        <f aca="false">IF(A189&lt;$F$6, 0, IF(AND($B$21=1, A189&gt;$B$19), 0, $E$6 * $G$6^((A189-$F$6)/12)))</f>
        <v>12.8885257528965</v>
      </c>
      <c r="G189" s="1" t="n">
        <f aca="false">IF(A189&lt;$F$7, 0, IF(AND($B$21=1, A189&gt;$B$19), 0, $E$7 * $G$7^((A189-$F$7)/12)))</f>
        <v>6.63984975633183</v>
      </c>
      <c r="H189" s="1" t="n">
        <f aca="false">IF(A189&lt;$F$8, 0, IF(AND($B$21=1, A189&gt;$B$19), 0, $E$8 * $G$8^((A189-$F$8)/12)))</f>
        <v>3.41445857929814</v>
      </c>
      <c r="I189" s="1" t="n">
        <f aca="false">IF(A189&lt;$F$9, 0, IF(AND($B$21=1, A189&gt;$B$19), 0, $E$9 * $G$9^((A189-$F$9)/12)))</f>
        <v>3.60453190053286</v>
      </c>
      <c r="J189" s="1" t="n">
        <f aca="false">IF(A189&lt;$F$10, 0, IF(AND($B$21=1, A189&gt;$B$19), 0, $E$10 * $G$10^((A189-$F$10)/12)))</f>
        <v>10.4595739414048</v>
      </c>
      <c r="K189" s="1" t="n">
        <f aca="false">IF(A189&lt;$F$11, 0, IF(AND($B$21=1, A189&gt;$B$19), 0, $E$11 * $G$11^((A189-$F$11)/12)))</f>
        <v>0</v>
      </c>
      <c r="L189" s="1" t="n">
        <f aca="false">IF(A189&lt;$F$12, 0, IF(AND($B$21=1, A189&gt;$B$19), 0, $E$12 * $G$12^((A189-$F$12)/12)))</f>
        <v>0</v>
      </c>
      <c r="M189" s="1" t="n">
        <f aca="false">IF(A189&lt;$F$13, 0, IF(AND($B$21=1, A189&gt;$B$19), 0, $E$13 * $G$13^((A189-$F$13)/12)))</f>
        <v>0</v>
      </c>
      <c r="N189" s="1" t="n">
        <f aca="false">IF(A189&lt;$F$14, 0, IF(AND($B$21=1, A189&gt;$B$19), 0, $E$14 * $G$14^((A189-$F$14)/12)))</f>
        <v>0</v>
      </c>
      <c r="O189" s="1" t="n">
        <f aca="false">SUM(F189:N189)</f>
        <v>37.0069399304641</v>
      </c>
      <c r="P189" s="1" t="n">
        <f aca="false">O189/12</f>
        <v>3.08391166087201</v>
      </c>
      <c r="Q189" s="1" t="n">
        <f aca="false">P189*$B$8</f>
        <v>0.308391166087201</v>
      </c>
      <c r="R189" s="1" t="n">
        <f aca="false">P189*$B$9</f>
        <v>0.1541955830436</v>
      </c>
      <c r="S189" s="1" t="n">
        <f aca="false">P189*$B$10</f>
        <v>0.185034699652321</v>
      </c>
      <c r="T189" s="1" t="n">
        <f aca="false">P189-Q189-R189-S189-D189-E189</f>
        <v>1.79987354542222</v>
      </c>
      <c r="U189" s="1" t="n">
        <f aca="false">MAX(0, T189 - $B$7*P189)</f>
        <v>0</v>
      </c>
      <c r="V189" s="1" t="n">
        <f aca="false">T189-U189</f>
        <v>1.79987354542222</v>
      </c>
      <c r="W189" s="1" t="n">
        <f aca="false"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>0</v>
      </c>
      <c r="X189" s="1" t="n">
        <f aca="false">V189-W189-C189</f>
        <v>1.79987354542222</v>
      </c>
      <c r="Y189" s="1" t="n">
        <f aca="false">IF(AND(A189&lt;=$F$10, X189&gt;0), X189*$B$23, 0)</f>
        <v>0</v>
      </c>
      <c r="Z189" s="1" t="n">
        <f aca="false">X189-Y189+IF(A189=$F$10+1, MAX(0, SUM(INDEX(Y:Y,31):INDEX(Y:Y,30+$F$10)) - ('1. Press Assumptions'!$D$93*'1. Press Assumptions'!$E$93 - '1. Press Assumptions'!$D$93*0.1154*0.5)), 0)</f>
        <v>1.79987354542222</v>
      </c>
      <c r="AA189" s="1" t="n">
        <f aca="false">IF(AND(A189=$B$19, $B$21=1), O189*$B$20, 0)</f>
        <v>0</v>
      </c>
      <c r="AB189" s="1" t="n">
        <f aca="false">AB188+Z189+AA189</f>
        <v>474.775000104018</v>
      </c>
    </row>
    <row r="190" customFormat="false" ht="15" hidden="false" customHeight="true" outlineLevel="0" collapsed="false">
      <c r="A190" s="1" t="n">
        <v>160</v>
      </c>
      <c r="B190" s="1" t="n">
        <f aca="false">CEILING(A190/12,1)</f>
        <v>14</v>
      </c>
      <c r="C190" s="1" t="n">
        <f aca="false">IF(A190&lt;=18, $B$15/12, 0)</f>
        <v>0</v>
      </c>
      <c r="D190" s="1" t="n">
        <f aca="false">INDEX('26. Team Comp'!$D$28:$R$28, B190) * 0.001 / 12</f>
        <v>0.636416666666667</v>
      </c>
      <c r="E190" s="1" t="n">
        <f aca="false"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>0</v>
      </c>
      <c r="F190" s="1" t="n">
        <f aca="false">IF(A190&lt;$F$6, 0, IF(AND($B$21=1, A190&gt;$B$19), 0, $E$6 * $G$6^((A190-$F$6)/12)))</f>
        <v>12.8335520819876</v>
      </c>
      <c r="G190" s="1" t="n">
        <f aca="false">IF(A190&lt;$F$7, 0, IF(AND($B$21=1, A190&gt;$B$19), 0, $E$7 * $G$7^((A190-$F$7)/12)))</f>
        <v>6.58180677296434</v>
      </c>
      <c r="H190" s="1" t="n">
        <f aca="false">IF(A190&lt;$F$8, 0, IF(AND($B$21=1, A190&gt;$B$19), 0, $E$8 * $G$8^((A190-$F$8)/12)))</f>
        <v>3.3685274634152</v>
      </c>
      <c r="I190" s="1" t="n">
        <f aca="false">IF(A190&lt;$F$9, 0, IF(AND($B$21=1, A190&gt;$B$19), 0, $E$9 * $G$9^((A190-$F$9)/12)))</f>
        <v>3.5560439284043</v>
      </c>
      <c r="J190" s="1" t="n">
        <f aca="false">IF(A190&lt;$F$10, 0, IF(AND($B$21=1, A190&gt;$B$19), 0, $E$10 * $G$10^((A190-$F$10)/12)))</f>
        <v>10.4149605242672</v>
      </c>
      <c r="K190" s="1" t="n">
        <f aca="false">IF(A190&lt;$F$11, 0, IF(AND($B$21=1, A190&gt;$B$19), 0, $E$11 * $G$11^((A190-$F$11)/12)))</f>
        <v>0</v>
      </c>
      <c r="L190" s="1" t="n">
        <f aca="false">IF(A190&lt;$F$12, 0, IF(AND($B$21=1, A190&gt;$B$19), 0, $E$12 * $G$12^((A190-$F$12)/12)))</f>
        <v>0</v>
      </c>
      <c r="M190" s="1" t="n">
        <f aca="false">IF(A190&lt;$F$13, 0, IF(AND($B$21=1, A190&gt;$B$19), 0, $E$13 * $G$13^((A190-$F$13)/12)))</f>
        <v>0</v>
      </c>
      <c r="N190" s="1" t="n">
        <f aca="false">IF(A190&lt;$F$14, 0, IF(AND($B$21=1, A190&gt;$B$19), 0, $E$14 * $G$14^((A190-$F$14)/12)))</f>
        <v>0</v>
      </c>
      <c r="O190" s="1" t="n">
        <f aca="false">SUM(F190:N190)</f>
        <v>36.7548907710386</v>
      </c>
      <c r="P190" s="1" t="n">
        <f aca="false">O190/12</f>
        <v>3.06290756425322</v>
      </c>
      <c r="Q190" s="1" t="n">
        <f aca="false">P190*$B$8</f>
        <v>0.306290756425322</v>
      </c>
      <c r="R190" s="1" t="n">
        <f aca="false">P190*$B$9</f>
        <v>0.153145378212661</v>
      </c>
      <c r="S190" s="1" t="n">
        <f aca="false">P190*$B$10</f>
        <v>0.183774453855193</v>
      </c>
      <c r="T190" s="1" t="n">
        <f aca="false">P190-Q190-R190-S190-D190-E190</f>
        <v>1.78328030909338</v>
      </c>
      <c r="U190" s="1" t="n">
        <f aca="false">MAX(0, T190 - $B$7*P190)</f>
        <v>0</v>
      </c>
      <c r="V190" s="1" t="n">
        <f aca="false">T190-U190</f>
        <v>1.78328030909338</v>
      </c>
      <c r="W190" s="1" t="n">
        <f aca="false"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>0</v>
      </c>
      <c r="X190" s="1" t="n">
        <f aca="false">V190-W190-C190</f>
        <v>1.78328030909338</v>
      </c>
      <c r="Y190" s="1" t="n">
        <f aca="false">IF(AND(A190&lt;=$F$10, X190&gt;0), X190*$B$23, 0)</f>
        <v>0</v>
      </c>
      <c r="Z190" s="1" t="n">
        <f aca="false">X190-Y190+IF(A190=$F$10+1, MAX(0, SUM(INDEX(Y:Y,31):INDEX(Y:Y,30+$F$10)) - ('1. Press Assumptions'!$D$93*'1. Press Assumptions'!$E$93 - '1. Press Assumptions'!$D$93*0.1154*0.5)), 0)</f>
        <v>1.78328030909338</v>
      </c>
      <c r="AA190" s="1" t="n">
        <f aca="false">IF(AND(A190=$B$19, $B$21=1), O190*$B$20, 0)</f>
        <v>0</v>
      </c>
      <c r="AB190" s="1" t="n">
        <f aca="false">AB189+Z190+AA190</f>
        <v>476.558280413111</v>
      </c>
    </row>
    <row r="191" customFormat="false" ht="15" hidden="false" customHeight="true" outlineLevel="0" collapsed="false">
      <c r="A191" s="1" t="n">
        <v>161</v>
      </c>
      <c r="B191" s="1" t="n">
        <f aca="false">CEILING(A191/12,1)</f>
        <v>14</v>
      </c>
      <c r="C191" s="1" t="n">
        <f aca="false">IF(A191&lt;=18, $B$15/12, 0)</f>
        <v>0</v>
      </c>
      <c r="D191" s="1" t="n">
        <f aca="false">INDEX('26. Team Comp'!$D$28:$R$28, B191) * 0.001 / 12</f>
        <v>0.636416666666667</v>
      </c>
      <c r="E191" s="1" t="n">
        <f aca="false"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>0</v>
      </c>
      <c r="F191" s="1" t="n">
        <f aca="false">IF(A191&lt;$F$6, 0, IF(AND($B$21=1, A191&gt;$B$19), 0, $E$6 * $G$6^((A191-$F$6)/12)))</f>
        <v>12.7788128913095</v>
      </c>
      <c r="G191" s="1" t="n">
        <f aca="false">IF(A191&lt;$F$7, 0, IF(AND($B$21=1, A191&gt;$B$19), 0, $E$7 * $G$7^((A191-$F$7)/12)))</f>
        <v>6.52427117877609</v>
      </c>
      <c r="H191" s="1" t="n">
        <f aca="false">IF(A191&lt;$F$8, 0, IF(AND($B$21=1, A191&gt;$B$19), 0, $E$8 * $G$8^((A191-$F$8)/12)))</f>
        <v>3.32321421046931</v>
      </c>
      <c r="I191" s="1" t="n">
        <f aca="false">IF(A191&lt;$F$9, 0, IF(AND($B$21=1, A191&gt;$B$19), 0, $E$9 * $G$9^((A191-$F$9)/12)))</f>
        <v>3.50820821390753</v>
      </c>
      <c r="J191" s="1" t="n">
        <f aca="false">IF(A191&lt;$F$10, 0, IF(AND($B$21=1, A191&gt;$B$19), 0, $E$10 * $G$10^((A191-$F$10)/12)))</f>
        <v>10.3705373975755</v>
      </c>
      <c r="K191" s="1" t="n">
        <f aca="false">IF(A191&lt;$F$11, 0, IF(AND($B$21=1, A191&gt;$B$19), 0, $E$11 * $G$11^((A191-$F$11)/12)))</f>
        <v>0</v>
      </c>
      <c r="L191" s="1" t="n">
        <f aca="false">IF(A191&lt;$F$12, 0, IF(AND($B$21=1, A191&gt;$B$19), 0, $E$12 * $G$12^((A191-$F$12)/12)))</f>
        <v>0</v>
      </c>
      <c r="M191" s="1" t="n">
        <f aca="false">IF(A191&lt;$F$13, 0, IF(AND($B$21=1, A191&gt;$B$19), 0, $E$13 * $G$13^((A191-$F$13)/12)))</f>
        <v>0</v>
      </c>
      <c r="N191" s="1" t="n">
        <f aca="false">IF(A191&lt;$F$14, 0, IF(AND($B$21=1, A191&gt;$B$19), 0, $E$14 * $G$14^((A191-$F$14)/12)))</f>
        <v>0</v>
      </c>
      <c r="O191" s="1" t="n">
        <f aca="false">SUM(F191:N191)</f>
        <v>36.5050438920379</v>
      </c>
      <c r="P191" s="1" t="n">
        <f aca="false">O191/12</f>
        <v>3.04208699100316</v>
      </c>
      <c r="Q191" s="1" t="n">
        <f aca="false">P191*$B$8</f>
        <v>0.304208699100316</v>
      </c>
      <c r="R191" s="1" t="n">
        <f aca="false">P191*$B$9</f>
        <v>0.152104349550158</v>
      </c>
      <c r="S191" s="1" t="n">
        <f aca="false">P191*$B$10</f>
        <v>0.18252521946019</v>
      </c>
      <c r="T191" s="1" t="n">
        <f aca="false">P191-Q191-R191-S191-D191-E191</f>
        <v>1.76683205622583</v>
      </c>
      <c r="U191" s="1" t="n">
        <f aca="false">MAX(0, T191 - $B$7*P191)</f>
        <v>0</v>
      </c>
      <c r="V191" s="1" t="n">
        <f aca="false">T191-U191</f>
        <v>1.76683205622583</v>
      </c>
      <c r="W191" s="1" t="n">
        <f aca="false"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>0</v>
      </c>
      <c r="X191" s="1" t="n">
        <f aca="false">V191-W191-C191</f>
        <v>1.76683205622583</v>
      </c>
      <c r="Y191" s="1" t="n">
        <f aca="false">IF(AND(A191&lt;=$F$10, X191&gt;0), X191*$B$23, 0)</f>
        <v>0</v>
      </c>
      <c r="Z191" s="1" t="n">
        <f aca="false">X191-Y191+IF(A191=$F$10+1, MAX(0, SUM(INDEX(Y:Y,31):INDEX(Y:Y,30+$F$10)) - ('1. Press Assumptions'!$D$93*'1. Press Assumptions'!$E$93 - '1. Press Assumptions'!$D$93*0.1154*0.5)), 0)</f>
        <v>1.76683205622583</v>
      </c>
      <c r="AA191" s="1" t="n">
        <f aca="false">IF(AND(A191=$B$19, $B$21=1), O191*$B$20, 0)</f>
        <v>0</v>
      </c>
      <c r="AB191" s="1" t="n">
        <f aca="false">AB190+Z191+AA191</f>
        <v>478.325112469337</v>
      </c>
    </row>
    <row r="192" customFormat="false" ht="15" hidden="false" customHeight="true" outlineLevel="0" collapsed="false">
      <c r="A192" s="1" t="n">
        <v>162</v>
      </c>
      <c r="B192" s="1" t="n">
        <f aca="false">CEILING(A192/12,1)</f>
        <v>14</v>
      </c>
      <c r="C192" s="1" t="n">
        <f aca="false">IF(A192&lt;=18, $B$15/12, 0)</f>
        <v>0</v>
      </c>
      <c r="D192" s="1" t="n">
        <f aca="false">INDEX('26. Team Comp'!$D$28:$R$28, B192) * 0.001 / 12</f>
        <v>0.636416666666667</v>
      </c>
      <c r="E192" s="1" t="n">
        <f aca="false"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>0</v>
      </c>
      <c r="F192" s="1" t="n">
        <f aca="false">IF(A192&lt;$F$6, 0, IF(AND($B$21=1, A192&gt;$B$19), 0, $E$6 * $G$6^((A192-$F$6)/12)))</f>
        <v>12.7243071807293</v>
      </c>
      <c r="G192" s="1" t="n">
        <f aca="false">IF(A192&lt;$F$7, 0, IF(AND($B$21=1, A192&gt;$B$19), 0, $E$7 * $G$7^((A192-$F$7)/12)))</f>
        <v>6.46723853836829</v>
      </c>
      <c r="H192" s="1" t="n">
        <f aca="false">IF(A192&lt;$F$8, 0, IF(AND($B$21=1, A192&gt;$B$19), 0, $E$8 * $G$8^((A192-$F$8)/12)))</f>
        <v>3.27851050900099</v>
      </c>
      <c r="I192" s="1" t="n">
        <f aca="false">IF(A192&lt;$F$9, 0, IF(AND($B$21=1, A192&gt;$B$19), 0, $E$9 * $G$9^((A192-$F$9)/12)))</f>
        <v>3.46101598290744</v>
      </c>
      <c r="J192" s="1" t="n">
        <f aca="false">IF(A192&lt;$F$10, 0, IF(AND($B$21=1, A192&gt;$B$19), 0, $E$10 * $G$10^((A192-$F$10)/12)))</f>
        <v>10.3263037496802</v>
      </c>
      <c r="K192" s="1" t="n">
        <f aca="false">IF(A192&lt;$F$11, 0, IF(AND($B$21=1, A192&gt;$B$19), 0, $E$11 * $G$11^((A192-$F$11)/12)))</f>
        <v>0</v>
      </c>
      <c r="L192" s="1" t="n">
        <f aca="false">IF(A192&lt;$F$12, 0, IF(AND($B$21=1, A192&gt;$B$19), 0, $E$12 * $G$12^((A192-$F$12)/12)))</f>
        <v>0</v>
      </c>
      <c r="M192" s="1" t="n">
        <f aca="false">IF(A192&lt;$F$13, 0, IF(AND($B$21=1, A192&gt;$B$19), 0, $E$13 * $G$13^((A192-$F$13)/12)))</f>
        <v>0</v>
      </c>
      <c r="N192" s="1" t="n">
        <f aca="false">IF(A192&lt;$F$14, 0, IF(AND($B$21=1, A192&gt;$B$19), 0, $E$14 * $G$14^((A192-$F$14)/12)))</f>
        <v>0</v>
      </c>
      <c r="O192" s="1" t="n">
        <f aca="false">SUM(F192:N192)</f>
        <v>36.2573759606862</v>
      </c>
      <c r="P192" s="1" t="n">
        <f aca="false">O192/12</f>
        <v>3.02144799672385</v>
      </c>
      <c r="Q192" s="1" t="n">
        <f aca="false">P192*$B$8</f>
        <v>0.302144799672385</v>
      </c>
      <c r="R192" s="1" t="n">
        <f aca="false">P192*$B$9</f>
        <v>0.151072399836193</v>
      </c>
      <c r="S192" s="1" t="n">
        <f aca="false">P192*$B$10</f>
        <v>0.181286879803431</v>
      </c>
      <c r="T192" s="1" t="n">
        <f aca="false">P192-Q192-R192-S192-D192-E192</f>
        <v>1.75052725074518</v>
      </c>
      <c r="U192" s="1" t="n">
        <f aca="false">MAX(0, T192 - $B$7*P192)</f>
        <v>0</v>
      </c>
      <c r="V192" s="1" t="n">
        <f aca="false">T192-U192</f>
        <v>1.75052725074518</v>
      </c>
      <c r="W192" s="1" t="n">
        <f aca="false"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>0</v>
      </c>
      <c r="X192" s="1" t="n">
        <f aca="false">V192-W192-C192</f>
        <v>1.75052725074518</v>
      </c>
      <c r="Y192" s="1" t="n">
        <f aca="false">IF(AND(A192&lt;=$F$10, X192&gt;0), X192*$B$23, 0)</f>
        <v>0</v>
      </c>
      <c r="Z192" s="1" t="n">
        <f aca="false">X192-Y192+IF(A192=$F$10+1, MAX(0, SUM(INDEX(Y:Y,31):INDEX(Y:Y,30+$F$10)) - ('1. Press Assumptions'!$D$93*'1. Press Assumptions'!$E$93 - '1. Press Assumptions'!$D$93*0.1154*0.5)), 0)</f>
        <v>1.75052725074518</v>
      </c>
      <c r="AA192" s="1" t="n">
        <f aca="false">IF(AND(A192=$B$19, $B$21=1), O192*$B$20, 0)</f>
        <v>0</v>
      </c>
      <c r="AB192" s="1" t="n">
        <f aca="false">AB191+Z192+AA192</f>
        <v>480.075639720082</v>
      </c>
    </row>
    <row r="193" customFormat="false" ht="15" hidden="false" customHeight="true" outlineLevel="0" collapsed="false">
      <c r="A193" s="1" t="n">
        <v>163</v>
      </c>
      <c r="B193" s="1" t="n">
        <f aca="false">CEILING(A193/12,1)</f>
        <v>14</v>
      </c>
      <c r="C193" s="1" t="n">
        <f aca="false">IF(A193&lt;=18, $B$15/12, 0)</f>
        <v>0</v>
      </c>
      <c r="D193" s="1" t="n">
        <f aca="false">INDEX('26. Team Comp'!$D$28:$R$28, B193) * 0.001 / 12</f>
        <v>0.636416666666667</v>
      </c>
      <c r="E193" s="1" t="n">
        <f aca="false"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>0</v>
      </c>
      <c r="F193" s="1" t="n">
        <f aca="false">IF(A193&lt;$F$6, 0, IF(AND($B$21=1, A193&gt;$B$19), 0, $E$6 * $G$6^((A193-$F$6)/12)))</f>
        <v>12.6700339543799</v>
      </c>
      <c r="G193" s="1" t="n">
        <f aca="false">IF(A193&lt;$F$7, 0, IF(AND($B$21=1, A193&gt;$B$19), 0, $E$7 * $G$7^((A193-$F$7)/12)))</f>
        <v>6.41070445511466</v>
      </c>
      <c r="H193" s="1" t="n">
        <f aca="false">IF(A193&lt;$F$8, 0, IF(AND($B$21=1, A193&gt;$B$19), 0, $E$8 * $G$8^((A193-$F$8)/12)))</f>
        <v>3.23440815935605</v>
      </c>
      <c r="I193" s="1" t="n">
        <f aca="false">IF(A193&lt;$F$9, 0, IF(AND($B$21=1, A193&gt;$B$19), 0, $E$9 * $G$9^((A193-$F$9)/12)))</f>
        <v>3.41445857929814</v>
      </c>
      <c r="J193" s="1" t="n">
        <f aca="false">IF(A193&lt;$F$10, 0, IF(AND($B$21=1, A193&gt;$B$19), 0, $E$10 * $G$10^((A193-$F$10)/12)))</f>
        <v>10.2822587723939</v>
      </c>
      <c r="K193" s="1" t="n">
        <f aca="false">IF(A193&lt;$F$11, 0, IF(AND($B$21=1, A193&gt;$B$19), 0, $E$11 * $G$11^((A193-$F$11)/12)))</f>
        <v>0</v>
      </c>
      <c r="L193" s="1" t="n">
        <f aca="false">IF(A193&lt;$F$12, 0, IF(AND($B$21=1, A193&gt;$B$19), 0, $E$12 * $G$12^((A193-$F$12)/12)))</f>
        <v>0</v>
      </c>
      <c r="M193" s="1" t="n">
        <f aca="false">IF(A193&lt;$F$13, 0, IF(AND($B$21=1, A193&gt;$B$19), 0, $E$13 * $G$13^((A193-$F$13)/12)))</f>
        <v>0</v>
      </c>
      <c r="N193" s="1" t="n">
        <f aca="false">IF(A193&lt;$F$14, 0, IF(AND($B$21=1, A193&gt;$B$19), 0, $E$14 * $G$14^((A193-$F$14)/12)))</f>
        <v>0</v>
      </c>
      <c r="O193" s="1" t="n">
        <f aca="false">SUM(F193:N193)</f>
        <v>36.0118639205426</v>
      </c>
      <c r="P193" s="1" t="n">
        <f aca="false">O193/12</f>
        <v>3.00098866004522</v>
      </c>
      <c r="Q193" s="1" t="n">
        <f aca="false">P193*$B$8</f>
        <v>0.300098866004522</v>
      </c>
      <c r="R193" s="1" t="n">
        <f aca="false">P193*$B$9</f>
        <v>0.150049433002261</v>
      </c>
      <c r="S193" s="1" t="n">
        <f aca="false">P193*$B$10</f>
        <v>0.180059319602713</v>
      </c>
      <c r="T193" s="1" t="n">
        <f aca="false">P193-Q193-R193-S193-D193-E193</f>
        <v>1.73436437476906</v>
      </c>
      <c r="U193" s="1" t="n">
        <f aca="false">MAX(0, T193 - $B$7*P193)</f>
        <v>0</v>
      </c>
      <c r="V193" s="1" t="n">
        <f aca="false">T193-U193</f>
        <v>1.73436437476906</v>
      </c>
      <c r="W193" s="1" t="n">
        <f aca="false"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>0</v>
      </c>
      <c r="X193" s="1" t="n">
        <f aca="false">V193-W193-C193</f>
        <v>1.73436437476906</v>
      </c>
      <c r="Y193" s="1" t="n">
        <f aca="false">IF(AND(A193&lt;=$F$10, X193&gt;0), X193*$B$23, 0)</f>
        <v>0</v>
      </c>
      <c r="Z193" s="1" t="n">
        <f aca="false">X193-Y193+IF(A193=$F$10+1, MAX(0, SUM(INDEX(Y:Y,31):INDEX(Y:Y,30+$F$10)) - ('1. Press Assumptions'!$D$93*'1. Press Assumptions'!$E$93 - '1. Press Assumptions'!$D$93*0.1154*0.5)), 0)</f>
        <v>1.73436437476906</v>
      </c>
      <c r="AA193" s="1" t="n">
        <f aca="false">IF(AND(A193=$B$19, $B$21=1), O193*$B$20, 0)</f>
        <v>0</v>
      </c>
      <c r="AB193" s="1" t="n">
        <f aca="false">AB192+Z193+AA193</f>
        <v>481.810004094851</v>
      </c>
    </row>
    <row r="194" customFormat="false" ht="15" hidden="false" customHeight="true" outlineLevel="0" collapsed="false">
      <c r="A194" s="1" t="n">
        <v>164</v>
      </c>
      <c r="B194" s="1" t="n">
        <f aca="false">CEILING(A194/12,1)</f>
        <v>14</v>
      </c>
      <c r="C194" s="1" t="n">
        <f aca="false">IF(A194&lt;=18, $B$15/12, 0)</f>
        <v>0</v>
      </c>
      <c r="D194" s="1" t="n">
        <f aca="false">INDEX('26. Team Comp'!$D$28:$R$28, B194) * 0.001 / 12</f>
        <v>0.636416666666667</v>
      </c>
      <c r="E194" s="1" t="n">
        <f aca="false"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>0</v>
      </c>
      <c r="F194" s="1" t="n">
        <f aca="false">IF(A194&lt;$F$6, 0, IF(AND($B$21=1, A194&gt;$B$19), 0, $E$6 * $G$6^((A194-$F$6)/12)))</f>
        <v>12.6159922206419</v>
      </c>
      <c r="G194" s="1" t="n">
        <f aca="false">IF(A194&lt;$F$7, 0, IF(AND($B$21=1, A194&gt;$B$19), 0, $E$7 * $G$7^((A194-$F$7)/12)))</f>
        <v>6.3546645708225</v>
      </c>
      <c r="H194" s="1" t="n">
        <f aca="false">IF(A194&lt;$F$8, 0, IF(AND($B$21=1, A194&gt;$B$19), 0, $E$8 * $G$8^((A194-$F$8)/12)))</f>
        <v>3.19089907218164</v>
      </c>
      <c r="I194" s="1" t="n">
        <f aca="false">IF(A194&lt;$F$9, 0, IF(AND($B$21=1, A194&gt;$B$19), 0, $E$9 * $G$9^((A194-$F$9)/12)))</f>
        <v>3.3685274634152</v>
      </c>
      <c r="J194" s="1" t="n">
        <f aca="false">IF(A194&lt;$F$10, 0, IF(AND($B$21=1, A194&gt;$B$19), 0, $E$10 * $G$10^((A194-$F$10)/12)))</f>
        <v>10.2384016609763</v>
      </c>
      <c r="K194" s="1" t="n">
        <f aca="false">IF(A194&lt;$F$11, 0, IF(AND($B$21=1, A194&gt;$B$19), 0, $E$11 * $G$11^((A194-$F$11)/12)))</f>
        <v>0</v>
      </c>
      <c r="L194" s="1" t="n">
        <f aca="false">IF(A194&lt;$F$12, 0, IF(AND($B$21=1, A194&gt;$B$19), 0, $E$12 * $G$12^((A194-$F$12)/12)))</f>
        <v>0</v>
      </c>
      <c r="M194" s="1" t="n">
        <f aca="false">IF(A194&lt;$F$13, 0, IF(AND($B$21=1, A194&gt;$B$19), 0, $E$13 * $G$13^((A194-$F$13)/12)))</f>
        <v>0</v>
      </c>
      <c r="N194" s="1" t="n">
        <f aca="false">IF(A194&lt;$F$14, 0, IF(AND($B$21=1, A194&gt;$B$19), 0, $E$14 * $G$14^((A194-$F$14)/12)))</f>
        <v>0</v>
      </c>
      <c r="O194" s="1" t="n">
        <f aca="false">SUM(F194:N194)</f>
        <v>35.7684849880375</v>
      </c>
      <c r="P194" s="1" t="n">
        <f aca="false">O194/12</f>
        <v>2.98070708233646</v>
      </c>
      <c r="Q194" s="1" t="n">
        <f aca="false">P194*$B$8</f>
        <v>0.298070708233646</v>
      </c>
      <c r="R194" s="1" t="n">
        <f aca="false">P194*$B$9</f>
        <v>0.149035354116823</v>
      </c>
      <c r="S194" s="1" t="n">
        <f aca="false">P194*$B$10</f>
        <v>0.178842424940188</v>
      </c>
      <c r="T194" s="1" t="n">
        <f aca="false">P194-Q194-R194-S194-D194-E194</f>
        <v>1.71834192837914</v>
      </c>
      <c r="U194" s="1" t="n">
        <f aca="false">MAX(0, T194 - $B$7*P194)</f>
        <v>0</v>
      </c>
      <c r="V194" s="1" t="n">
        <f aca="false">T194-U194</f>
        <v>1.71834192837914</v>
      </c>
      <c r="W194" s="1" t="n">
        <f aca="false"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>0</v>
      </c>
      <c r="X194" s="1" t="n">
        <f aca="false">V194-W194-C194</f>
        <v>1.71834192837914</v>
      </c>
      <c r="Y194" s="1" t="n">
        <f aca="false">IF(AND(A194&lt;=$F$10, X194&gt;0), X194*$B$23, 0)</f>
        <v>0</v>
      </c>
      <c r="Z194" s="1" t="n">
        <f aca="false">X194-Y194+IF(A194=$F$10+1, MAX(0, SUM(INDEX(Y:Y,31):INDEX(Y:Y,30+$F$10)) - ('1. Press Assumptions'!$D$93*'1. Press Assumptions'!$E$93 - '1. Press Assumptions'!$D$93*0.1154*0.5)), 0)</f>
        <v>1.71834192837914</v>
      </c>
      <c r="AA194" s="1" t="n">
        <f aca="false">IF(AND(A194=$B$19, $B$21=1), O194*$B$20, 0)</f>
        <v>0</v>
      </c>
      <c r="AB194" s="1" t="n">
        <f aca="false">AB193+Z194+AA194</f>
        <v>483.52834602323</v>
      </c>
    </row>
    <row r="195" customFormat="false" ht="15" hidden="false" customHeight="true" outlineLevel="0" collapsed="false">
      <c r="A195" s="1" t="n">
        <v>165</v>
      </c>
      <c r="B195" s="1" t="n">
        <f aca="false">CEILING(A195/12,1)</f>
        <v>14</v>
      </c>
      <c r="C195" s="1" t="n">
        <f aca="false">IF(A195&lt;=18, $B$15/12, 0)</f>
        <v>0</v>
      </c>
      <c r="D195" s="1" t="n">
        <f aca="false">INDEX('26. Team Comp'!$D$28:$R$28, B195) * 0.001 / 12</f>
        <v>0.636416666666667</v>
      </c>
      <c r="E195" s="1" t="n">
        <f aca="false"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>0</v>
      </c>
      <c r="F195" s="1" t="n">
        <f aca="false">IF(A195&lt;$F$6, 0, IF(AND($B$21=1, A195&gt;$B$19), 0, $E$6 * $G$6^((A195-$F$6)/12)))</f>
        <v>12.5621809921257</v>
      </c>
      <c r="G195" s="1" t="n">
        <f aca="false">IF(A195&lt;$F$7, 0, IF(AND($B$21=1, A195&gt;$B$19), 0, $E$7 * $G$7^((A195-$F$7)/12)))</f>
        <v>6.29911456539678</v>
      </c>
      <c r="H195" s="1" t="n">
        <f aca="false">IF(A195&lt;$F$8, 0, IF(AND($B$21=1, A195&gt;$B$19), 0, $E$8 * $G$8^((A195-$F$8)/12)))</f>
        <v>3.14797526694243</v>
      </c>
      <c r="I195" s="1" t="n">
        <f aca="false">IF(A195&lt;$F$9, 0, IF(AND($B$21=1, A195&gt;$B$19), 0, $E$9 * $G$9^((A195-$F$9)/12)))</f>
        <v>3.32321421046931</v>
      </c>
      <c r="J195" s="1" t="n">
        <f aca="false">IF(A195&lt;$F$10, 0, IF(AND($B$21=1, A195&gt;$B$19), 0, $E$10 * $G$10^((A195-$F$10)/12)))</f>
        <v>10.1947316141195</v>
      </c>
      <c r="K195" s="1" t="n">
        <f aca="false">IF(A195&lt;$F$11, 0, IF(AND($B$21=1, A195&gt;$B$19), 0, $E$11 * $G$11^((A195-$F$11)/12)))</f>
        <v>0</v>
      </c>
      <c r="L195" s="1" t="n">
        <f aca="false">IF(A195&lt;$F$12, 0, IF(AND($B$21=1, A195&gt;$B$19), 0, $E$12 * $G$12^((A195-$F$12)/12)))</f>
        <v>0</v>
      </c>
      <c r="M195" s="1" t="n">
        <f aca="false">IF(A195&lt;$F$13, 0, IF(AND($B$21=1, A195&gt;$B$19), 0, $E$13 * $G$13^((A195-$F$13)/12)))</f>
        <v>0</v>
      </c>
      <c r="N195" s="1" t="n">
        <f aca="false">IF(A195&lt;$F$14, 0, IF(AND($B$21=1, A195&gt;$B$19), 0, $E$14 * $G$14^((A195-$F$14)/12)))</f>
        <v>0</v>
      </c>
      <c r="O195" s="1" t="n">
        <f aca="false">SUM(F195:N195)</f>
        <v>35.5272166490537</v>
      </c>
      <c r="P195" s="1" t="n">
        <f aca="false">O195/12</f>
        <v>2.96060138742114</v>
      </c>
      <c r="Q195" s="1" t="n">
        <f aca="false">P195*$B$8</f>
        <v>0.296060138742114</v>
      </c>
      <c r="R195" s="1" t="n">
        <f aca="false">P195*$B$9</f>
        <v>0.148030069371057</v>
      </c>
      <c r="S195" s="1" t="n">
        <f aca="false">P195*$B$10</f>
        <v>0.177636083245268</v>
      </c>
      <c r="T195" s="1" t="n">
        <f aca="false">P195-Q195-R195-S195-D195-E195</f>
        <v>1.70245842939603</v>
      </c>
      <c r="U195" s="1" t="n">
        <f aca="false">MAX(0, T195 - $B$7*P195)</f>
        <v>0</v>
      </c>
      <c r="V195" s="1" t="n">
        <f aca="false">T195-U195</f>
        <v>1.70245842939603</v>
      </c>
      <c r="W195" s="1" t="n">
        <f aca="false"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>0</v>
      </c>
      <c r="X195" s="1" t="n">
        <f aca="false">V195-W195-C195</f>
        <v>1.70245842939603</v>
      </c>
      <c r="Y195" s="1" t="n">
        <f aca="false">IF(AND(A195&lt;=$F$10, X195&gt;0), X195*$B$23, 0)</f>
        <v>0</v>
      </c>
      <c r="Z195" s="1" t="n">
        <f aca="false">X195-Y195+IF(A195=$F$10+1, MAX(0, SUM(INDEX(Y:Y,31):INDEX(Y:Y,30+$F$10)) - ('1. Press Assumptions'!$D$93*'1. Press Assumptions'!$E$93 - '1. Press Assumptions'!$D$93*0.1154*0.5)), 0)</f>
        <v>1.70245842939603</v>
      </c>
      <c r="AA195" s="1" t="n">
        <f aca="false">IF(AND(A195=$B$19, $B$21=1), O195*$B$20, 0)</f>
        <v>0</v>
      </c>
      <c r="AB195" s="1" t="n">
        <f aca="false">AB194+Z195+AA195</f>
        <v>485.230804452626</v>
      </c>
    </row>
    <row r="196" customFormat="false" ht="15" hidden="false" customHeight="true" outlineLevel="0" collapsed="false">
      <c r="A196" s="1" t="n">
        <v>166</v>
      </c>
      <c r="B196" s="1" t="n">
        <f aca="false">CEILING(A196/12,1)</f>
        <v>14</v>
      </c>
      <c r="C196" s="1" t="n">
        <f aca="false">IF(A196&lt;=18, $B$15/12, 0)</f>
        <v>0</v>
      </c>
      <c r="D196" s="1" t="n">
        <f aca="false">INDEX('26. Team Comp'!$D$28:$R$28, B196) * 0.001 / 12</f>
        <v>0.636416666666667</v>
      </c>
      <c r="E196" s="1" t="n">
        <f aca="false"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>0</v>
      </c>
      <c r="F196" s="1" t="n">
        <f aca="false">IF(A196&lt;$F$6, 0, IF(AND($B$21=1, A196&gt;$B$19), 0, $E$6 * $G$6^((A196-$F$6)/12)))</f>
        <v>12.5085992856528</v>
      </c>
      <c r="G196" s="1" t="n">
        <f aca="false">IF(A196&lt;$F$7, 0, IF(AND($B$21=1, A196&gt;$B$19), 0, $E$7 * $G$7^((A196-$F$7)/12)))</f>
        <v>6.24405015650702</v>
      </c>
      <c r="H196" s="1" t="n">
        <f aca="false">IF(A196&lt;$F$8, 0, IF(AND($B$21=1, A196&gt;$B$19), 0, $E$8 * $G$8^((A196-$F$8)/12)))</f>
        <v>3.10562887045685</v>
      </c>
      <c r="I196" s="1" t="n">
        <f aca="false">IF(A196&lt;$F$9, 0, IF(AND($B$21=1, A196&gt;$B$19), 0, $E$9 * $G$9^((A196-$F$9)/12)))</f>
        <v>3.27851050900099</v>
      </c>
      <c r="J196" s="1" t="n">
        <f aca="false">IF(A196&lt;$F$10, 0, IF(AND($B$21=1, A196&gt;$B$19), 0, $E$10 * $G$10^((A196-$F$10)/12)))</f>
        <v>10.1512478339336</v>
      </c>
      <c r="K196" s="1" t="n">
        <f aca="false">IF(A196&lt;$F$11, 0, IF(AND($B$21=1, A196&gt;$B$19), 0, $E$11 * $G$11^((A196-$F$11)/12)))</f>
        <v>0</v>
      </c>
      <c r="L196" s="1" t="n">
        <f aca="false">IF(A196&lt;$F$12, 0, IF(AND($B$21=1, A196&gt;$B$19), 0, $E$12 * $G$12^((A196-$F$12)/12)))</f>
        <v>0</v>
      </c>
      <c r="M196" s="1" t="n">
        <f aca="false">IF(A196&lt;$F$13, 0, IF(AND($B$21=1, A196&gt;$B$19), 0, $E$13 * $G$13^((A196-$F$13)/12)))</f>
        <v>0</v>
      </c>
      <c r="N196" s="1" t="n">
        <f aca="false">IF(A196&lt;$F$14, 0, IF(AND($B$21=1, A196&gt;$B$19), 0, $E$14 * $G$14^((A196-$F$14)/12)))</f>
        <v>0</v>
      </c>
      <c r="O196" s="1" t="n">
        <f aca="false">SUM(F196:N196)</f>
        <v>35.2880366555513</v>
      </c>
      <c r="P196" s="1" t="n">
        <f aca="false">O196/12</f>
        <v>2.94066972129594</v>
      </c>
      <c r="Q196" s="1" t="n">
        <f aca="false">P196*$B$8</f>
        <v>0.294066972129594</v>
      </c>
      <c r="R196" s="1" t="n">
        <f aca="false">P196*$B$9</f>
        <v>0.147033486064797</v>
      </c>
      <c r="S196" s="1" t="n">
        <f aca="false">P196*$B$10</f>
        <v>0.176440183277756</v>
      </c>
      <c r="T196" s="1" t="n">
        <f aca="false">P196-Q196-R196-S196-D196-E196</f>
        <v>1.68671241315713</v>
      </c>
      <c r="U196" s="1" t="n">
        <f aca="false">MAX(0, T196 - $B$7*P196)</f>
        <v>0</v>
      </c>
      <c r="V196" s="1" t="n">
        <f aca="false">T196-U196</f>
        <v>1.68671241315713</v>
      </c>
      <c r="W196" s="1" t="n">
        <f aca="false"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>0</v>
      </c>
      <c r="X196" s="1" t="n">
        <f aca="false">V196-W196-C196</f>
        <v>1.68671241315713</v>
      </c>
      <c r="Y196" s="1" t="n">
        <f aca="false">IF(AND(A196&lt;=$F$10, X196&gt;0), X196*$B$23, 0)</f>
        <v>0</v>
      </c>
      <c r="Z196" s="1" t="n">
        <f aca="false">X196-Y196+IF(A196=$F$10+1, MAX(0, SUM(INDEX(Y:Y,31):INDEX(Y:Y,30+$F$10)) - ('1. Press Assumptions'!$D$93*'1. Press Assumptions'!$E$93 - '1. Press Assumptions'!$D$93*0.1154*0.5)), 0)</f>
        <v>1.68671241315713</v>
      </c>
      <c r="AA196" s="1" t="n">
        <f aca="false">IF(AND(A196=$B$19, $B$21=1), O196*$B$20, 0)</f>
        <v>0</v>
      </c>
      <c r="AB196" s="1" t="n">
        <f aca="false">AB195+Z196+AA196</f>
        <v>486.917516865783</v>
      </c>
    </row>
    <row r="197" customFormat="false" ht="15" hidden="false" customHeight="true" outlineLevel="0" collapsed="false">
      <c r="A197" s="1" t="n">
        <v>167</v>
      </c>
      <c r="B197" s="1" t="n">
        <f aca="false">CEILING(A197/12,1)</f>
        <v>14</v>
      </c>
      <c r="C197" s="1" t="n">
        <f aca="false">IF(A197&lt;=18, $B$15/12, 0)</f>
        <v>0</v>
      </c>
      <c r="D197" s="1" t="n">
        <f aca="false">INDEX('26. Team Comp'!$D$28:$R$28, B197) * 0.001 / 12</f>
        <v>0.636416666666667</v>
      </c>
      <c r="E197" s="1" t="n">
        <f aca="false"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>0</v>
      </c>
      <c r="F197" s="1" t="n">
        <f aca="false">IF(A197&lt;$F$6, 0, IF(AND($B$21=1, A197&gt;$B$19), 0, $E$6 * $G$6^((A197-$F$6)/12)))</f>
        <v>12.4552461222387</v>
      </c>
      <c r="G197" s="1" t="n">
        <f aca="false">IF(A197&lt;$F$7, 0, IF(AND($B$21=1, A197&gt;$B$19), 0, $E$7 * $G$7^((A197-$F$7)/12)))</f>
        <v>6.18946709925722</v>
      </c>
      <c r="H197" s="1" t="n">
        <f aca="false">IF(A197&lt;$F$8, 0, IF(AND($B$21=1, A197&gt;$B$19), 0, $E$8 * $G$8^((A197-$F$8)/12)))</f>
        <v>3.06385211545293</v>
      </c>
      <c r="I197" s="1" t="n">
        <f aca="false">IF(A197&lt;$F$9, 0, IF(AND($B$21=1, A197&gt;$B$19), 0, $E$9 * $G$9^((A197-$F$9)/12)))</f>
        <v>3.23440815935605</v>
      </c>
      <c r="J197" s="1" t="n">
        <f aca="false">IF(A197&lt;$F$10, 0, IF(AND($B$21=1, A197&gt;$B$19), 0, $E$10 * $G$10^((A197-$F$10)/12)))</f>
        <v>10.1079495259319</v>
      </c>
      <c r="K197" s="1" t="n">
        <f aca="false">IF(A197&lt;$F$11, 0, IF(AND($B$21=1, A197&gt;$B$19), 0, $E$11 * $G$11^((A197-$F$11)/12)))</f>
        <v>0</v>
      </c>
      <c r="L197" s="1" t="n">
        <f aca="false">IF(A197&lt;$F$12, 0, IF(AND($B$21=1, A197&gt;$B$19), 0, $E$12 * $G$12^((A197-$F$12)/12)))</f>
        <v>0</v>
      </c>
      <c r="M197" s="1" t="n">
        <f aca="false">IF(A197&lt;$F$13, 0, IF(AND($B$21=1, A197&gt;$B$19), 0, $E$13 * $G$13^((A197-$F$13)/12)))</f>
        <v>0</v>
      </c>
      <c r="N197" s="1" t="n">
        <f aca="false">IF(A197&lt;$F$14, 0, IF(AND($B$21=1, A197&gt;$B$19), 0, $E$14 * $G$14^((A197-$F$14)/12)))</f>
        <v>0</v>
      </c>
      <c r="O197" s="1" t="n">
        <f aca="false">SUM(F197:N197)</f>
        <v>35.0509230222368</v>
      </c>
      <c r="P197" s="1" t="n">
        <f aca="false">O197/12</f>
        <v>2.92091025185307</v>
      </c>
      <c r="Q197" s="1" t="n">
        <f aca="false">P197*$B$8</f>
        <v>0.292091025185307</v>
      </c>
      <c r="R197" s="1" t="n">
        <f aca="false">P197*$B$9</f>
        <v>0.146045512592653</v>
      </c>
      <c r="S197" s="1" t="n">
        <f aca="false">P197*$B$10</f>
        <v>0.175254615111184</v>
      </c>
      <c r="T197" s="1" t="n">
        <f aca="false">P197-Q197-R197-S197-D197-E197</f>
        <v>1.67110243229726</v>
      </c>
      <c r="U197" s="1" t="n">
        <f aca="false">MAX(0, T197 - $B$7*P197)</f>
        <v>0</v>
      </c>
      <c r="V197" s="1" t="n">
        <f aca="false">T197-U197</f>
        <v>1.67110243229726</v>
      </c>
      <c r="W197" s="1" t="n">
        <f aca="false"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>0</v>
      </c>
      <c r="X197" s="1" t="n">
        <f aca="false">V197-W197-C197</f>
        <v>1.67110243229726</v>
      </c>
      <c r="Y197" s="1" t="n">
        <f aca="false">IF(AND(A197&lt;=$F$10, X197&gt;0), X197*$B$23, 0)</f>
        <v>0</v>
      </c>
      <c r="Z197" s="1" t="n">
        <f aca="false">X197-Y197+IF(A197=$F$10+1, MAX(0, SUM(INDEX(Y:Y,31):INDEX(Y:Y,30+$F$10)) - ('1. Press Assumptions'!$D$93*'1. Press Assumptions'!$E$93 - '1. Press Assumptions'!$D$93*0.1154*0.5)), 0)</f>
        <v>1.67110243229726</v>
      </c>
      <c r="AA197" s="1" t="n">
        <f aca="false">IF(AND(A197=$B$19, $B$21=1), O197*$B$20, 0)</f>
        <v>0</v>
      </c>
      <c r="AB197" s="1" t="n">
        <f aca="false">AB196+Z197+AA197</f>
        <v>488.58861929808</v>
      </c>
    </row>
    <row r="198" customFormat="false" ht="15" hidden="false" customHeight="true" outlineLevel="0" collapsed="false">
      <c r="A198" s="1" t="n">
        <v>168</v>
      </c>
      <c r="B198" s="1" t="n">
        <f aca="false">CEILING(A198/12,1)</f>
        <v>14</v>
      </c>
      <c r="C198" s="1" t="n">
        <f aca="false">IF(A198&lt;=18, $B$15/12, 0)</f>
        <v>0</v>
      </c>
      <c r="D198" s="1" t="n">
        <f aca="false">INDEX('26. Team Comp'!$D$28:$R$28, B198) * 0.001 / 12</f>
        <v>0.636416666666667</v>
      </c>
      <c r="E198" s="1" t="n">
        <f aca="false"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>0</v>
      </c>
      <c r="F198" s="1" t="n">
        <f aca="false">IF(A198&lt;$F$6, 0, IF(AND($B$21=1, A198&gt;$B$19), 0, $E$6 * $G$6^((A198-$F$6)/12)))</f>
        <v>12.4021205270744</v>
      </c>
      <c r="G198" s="1" t="n">
        <f aca="false">IF(A198&lt;$F$7, 0, IF(AND($B$21=1, A198&gt;$B$19), 0, $E$7 * $G$7^((A198-$F$7)/12)))</f>
        <v>6.13536118585862</v>
      </c>
      <c r="H198" s="1" t="n">
        <f aca="false">IF(A198&lt;$F$8, 0, IF(AND($B$21=1, A198&gt;$B$19), 0, $E$8 * $G$8^((A198-$F$8)/12)))</f>
        <v>3.02263733914366</v>
      </c>
      <c r="I198" s="1" t="n">
        <f aca="false">IF(A198&lt;$F$9, 0, IF(AND($B$21=1, A198&gt;$B$19), 0, $E$9 * $G$9^((A198-$F$9)/12)))</f>
        <v>3.19089907218164</v>
      </c>
      <c r="J198" s="1" t="n">
        <f aca="false">IF(A198&lt;$F$10, 0, IF(AND($B$21=1, A198&gt;$B$19), 0, $E$10 * $G$10^((A198-$F$10)/12)))</f>
        <v>10.0648358990163</v>
      </c>
      <c r="K198" s="1" t="n">
        <f aca="false">IF(A198&lt;$F$11, 0, IF(AND($B$21=1, A198&gt;$B$19), 0, $E$11 * $G$11^((A198-$F$11)/12)))</f>
        <v>0</v>
      </c>
      <c r="L198" s="1" t="n">
        <f aca="false">IF(A198&lt;$F$12, 0, IF(AND($B$21=1, A198&gt;$B$19), 0, $E$12 * $G$12^((A198-$F$12)/12)))</f>
        <v>0</v>
      </c>
      <c r="M198" s="1" t="n">
        <f aca="false">IF(A198&lt;$F$13, 0, IF(AND($B$21=1, A198&gt;$B$19), 0, $E$13 * $G$13^((A198-$F$13)/12)))</f>
        <v>0</v>
      </c>
      <c r="N198" s="1" t="n">
        <f aca="false">IF(A198&lt;$F$14, 0, IF(AND($B$21=1, A198&gt;$B$19), 0, $E$14 * $G$14^((A198-$F$14)/12)))</f>
        <v>0</v>
      </c>
      <c r="O198" s="1" t="n">
        <f aca="false">SUM(F198:N198)</f>
        <v>34.8158540232746</v>
      </c>
      <c r="P198" s="1" t="n">
        <f aca="false">O198/12</f>
        <v>2.90132116860622</v>
      </c>
      <c r="Q198" s="1" t="n">
        <f aca="false">P198*$B$8</f>
        <v>0.290132116860622</v>
      </c>
      <c r="R198" s="1" t="n">
        <f aca="false">P198*$B$9</f>
        <v>0.145066058430311</v>
      </c>
      <c r="S198" s="1" t="n">
        <f aca="false">P198*$B$10</f>
        <v>0.174079270116373</v>
      </c>
      <c r="T198" s="1" t="n">
        <f aca="false">P198-Q198-R198-S198-D198-E198</f>
        <v>1.65562705653224</v>
      </c>
      <c r="U198" s="1" t="n">
        <f aca="false">MAX(0, T198 - $B$7*P198)</f>
        <v>0</v>
      </c>
      <c r="V198" s="1" t="n">
        <f aca="false">T198-U198</f>
        <v>1.65562705653224</v>
      </c>
      <c r="W198" s="1" t="n">
        <f aca="false"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>0</v>
      </c>
      <c r="X198" s="1" t="n">
        <f aca="false">V198-W198-C198</f>
        <v>1.65562705653224</v>
      </c>
      <c r="Y198" s="1" t="n">
        <f aca="false">IF(AND(A198&lt;=$F$10, X198&gt;0), X198*$B$23, 0)</f>
        <v>0</v>
      </c>
      <c r="Z198" s="1" t="n">
        <f aca="false">X198-Y198+IF(A198=$F$10+1, MAX(0, SUM(INDEX(Y:Y,31):INDEX(Y:Y,30+$F$10)) - ('1. Press Assumptions'!$D$93*'1. Press Assumptions'!$E$93 - '1. Press Assumptions'!$D$93*0.1154*0.5)), 0)</f>
        <v>1.65562705653224</v>
      </c>
      <c r="AA198" s="1" t="n">
        <f aca="false">IF(AND(A198=$B$19, $B$21=1), O198*$B$20, 0)</f>
        <v>0</v>
      </c>
      <c r="AB198" s="1" t="n">
        <f aca="false">AB197+Z198+AA198</f>
        <v>490.244246354613</v>
      </c>
    </row>
    <row r="199" customFormat="false" ht="15" hidden="false" customHeight="true" outlineLevel="0" collapsed="false">
      <c r="A199" s="1" t="n">
        <v>169</v>
      </c>
      <c r="B199" s="1" t="n">
        <f aca="false">CEILING(A199/12,1)</f>
        <v>15</v>
      </c>
      <c r="C199" s="1" t="n">
        <f aca="false">IF(A199&lt;=18, $B$15/12, 0)</f>
        <v>0</v>
      </c>
      <c r="D199" s="1" t="n">
        <f aca="false">INDEX('26. Team Comp'!$D$28:$R$28, B199) * 0.001 / 12</f>
        <v>0.636416666666667</v>
      </c>
      <c r="E199" s="1" t="n">
        <f aca="false"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>0</v>
      </c>
      <c r="F199" s="1" t="n">
        <f aca="false">IF(A199&lt;$F$6, 0, IF(AND($B$21=1, A199&gt;$B$19), 0, $E$6 * $G$6^((A199-$F$6)/12)))</f>
        <v>12.3492215295087</v>
      </c>
      <c r="G199" s="1" t="n">
        <f aca="false">IF(A199&lt;$F$7, 0, IF(AND($B$21=1, A199&gt;$B$19), 0, $E$7 * $G$7^((A199-$F$7)/12)))</f>
        <v>6.08172824530529</v>
      </c>
      <c r="H199" s="1" t="n">
        <f aca="false">IF(A199&lt;$F$8, 0, IF(AND($B$21=1, A199&gt;$B$19), 0, $E$8 * $G$8^((A199-$F$8)/12)))</f>
        <v>2.9819769818214</v>
      </c>
      <c r="I199" s="1" t="n">
        <f aca="false">IF(A199&lt;$F$9, 0, IF(AND($B$21=1, A199&gt;$B$19), 0, $E$9 * $G$9^((A199-$F$9)/12)))</f>
        <v>3.14797526694243</v>
      </c>
      <c r="J199" s="1" t="n">
        <f aca="false">IF(A199&lt;$F$10, 0, IF(AND($B$21=1, A199&gt;$B$19), 0, $E$10 * $G$10^((A199-$F$10)/12)))</f>
        <v>10.0219061654631</v>
      </c>
      <c r="K199" s="1" t="n">
        <f aca="false">IF(A199&lt;$F$11, 0, IF(AND($B$21=1, A199&gt;$B$19), 0, $E$11 * $G$11^((A199-$F$11)/12)))</f>
        <v>0</v>
      </c>
      <c r="L199" s="1" t="n">
        <f aca="false">IF(A199&lt;$F$12, 0, IF(AND($B$21=1, A199&gt;$B$19), 0, $E$12 * $G$12^((A199-$F$12)/12)))</f>
        <v>0</v>
      </c>
      <c r="M199" s="1" t="n">
        <f aca="false">IF(A199&lt;$F$13, 0, IF(AND($B$21=1, A199&gt;$B$19), 0, $E$13 * $G$13^((A199-$F$13)/12)))</f>
        <v>0</v>
      </c>
      <c r="N199" s="1" t="n">
        <f aca="false">IF(A199&lt;$F$14, 0, IF(AND($B$21=1, A199&gt;$B$19), 0, $E$14 * $G$14^((A199-$F$14)/12)))</f>
        <v>0</v>
      </c>
      <c r="O199" s="1" t="n">
        <f aca="false">SUM(F199:N199)</f>
        <v>34.582808189041</v>
      </c>
      <c r="P199" s="1" t="n">
        <f aca="false">O199/12</f>
        <v>2.88190068242008</v>
      </c>
      <c r="Q199" s="1" t="n">
        <f aca="false">P199*$B$8</f>
        <v>0.288190068242008</v>
      </c>
      <c r="R199" s="1" t="n">
        <f aca="false">P199*$B$9</f>
        <v>0.144095034121004</v>
      </c>
      <c r="S199" s="1" t="n">
        <f aca="false">P199*$B$10</f>
        <v>0.172914040945205</v>
      </c>
      <c r="T199" s="1" t="n">
        <f aca="false">P199-Q199-R199-S199-D199-E199</f>
        <v>1.6402848724452</v>
      </c>
      <c r="U199" s="1" t="n">
        <f aca="false">MAX(0, T199 - $B$7*P199)</f>
        <v>0</v>
      </c>
      <c r="V199" s="1" t="n">
        <f aca="false">T199-U199</f>
        <v>1.6402848724452</v>
      </c>
      <c r="W199" s="1" t="n">
        <f aca="false"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>0</v>
      </c>
      <c r="X199" s="1" t="n">
        <f aca="false">V199-W199-C199</f>
        <v>1.6402848724452</v>
      </c>
      <c r="Y199" s="1" t="n">
        <f aca="false">IF(AND(A199&lt;=$F$10, X199&gt;0), X199*$B$23, 0)</f>
        <v>0</v>
      </c>
      <c r="Z199" s="1" t="n">
        <f aca="false">X199-Y199+IF(A199=$F$10+1, MAX(0, SUM(INDEX(Y:Y,31):INDEX(Y:Y,30+$F$10)) - ('1. Press Assumptions'!$D$93*'1. Press Assumptions'!$E$93 - '1. Press Assumptions'!$D$93*0.1154*0.5)), 0)</f>
        <v>1.6402848724452</v>
      </c>
      <c r="AA199" s="1" t="n">
        <f aca="false">IF(AND(A199=$B$19, $B$21=1), O199*$B$20, 0)</f>
        <v>0</v>
      </c>
      <c r="AB199" s="1" t="n">
        <f aca="false">AB198+Z199+AA199</f>
        <v>491.884531227058</v>
      </c>
    </row>
    <row r="200" customFormat="false" ht="15" hidden="false" customHeight="true" outlineLevel="0" collapsed="false">
      <c r="A200" s="1" t="n">
        <v>170</v>
      </c>
      <c r="B200" s="1" t="n">
        <f aca="false">CEILING(A200/12,1)</f>
        <v>15</v>
      </c>
      <c r="C200" s="1" t="n">
        <f aca="false">IF(A200&lt;=18, $B$15/12, 0)</f>
        <v>0</v>
      </c>
      <c r="D200" s="1" t="n">
        <f aca="false">INDEX('26. Team Comp'!$D$28:$R$28, B200) * 0.001 / 12</f>
        <v>0.636416666666667</v>
      </c>
      <c r="E200" s="1" t="n">
        <f aca="false"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>0</v>
      </c>
      <c r="F200" s="1" t="n">
        <f aca="false">IF(A200&lt;$F$6, 0, IF(AND($B$21=1, A200&gt;$B$19), 0, $E$6 * $G$6^((A200-$F$6)/12)))</f>
        <v>12.2965481630307</v>
      </c>
      <c r="G200" s="1" t="n">
        <f aca="false">IF(A200&lt;$F$7, 0, IF(AND($B$21=1, A200&gt;$B$19), 0, $E$7 * $G$7^((A200-$F$7)/12)))</f>
        <v>6.02856414305264</v>
      </c>
      <c r="H200" s="1" t="n">
        <f aca="false">IF(A200&lt;$F$8, 0, IF(AND($B$21=1, A200&gt;$B$19), 0, $E$8 * $G$8^((A200-$F$8)/12)))</f>
        <v>2.94186358547133</v>
      </c>
      <c r="I200" s="1" t="n">
        <f aca="false">IF(A200&lt;$F$9, 0, IF(AND($B$21=1, A200&gt;$B$19), 0, $E$9 * $G$9^((A200-$F$9)/12)))</f>
        <v>3.10562887045685</v>
      </c>
      <c r="J200" s="1" t="n">
        <f aca="false">IF(A200&lt;$F$10, 0, IF(AND($B$21=1, A200&gt;$B$19), 0, $E$10 * $G$10^((A200-$F$10)/12)))</f>
        <v>9.97915954090863</v>
      </c>
      <c r="K200" s="1" t="n">
        <f aca="false">IF(A200&lt;$F$11, 0, IF(AND($B$21=1, A200&gt;$B$19), 0, $E$11 * $G$11^((A200-$F$11)/12)))</f>
        <v>0</v>
      </c>
      <c r="L200" s="1" t="n">
        <f aca="false">IF(A200&lt;$F$12, 0, IF(AND($B$21=1, A200&gt;$B$19), 0, $E$12 * $G$12^((A200-$F$12)/12)))</f>
        <v>0</v>
      </c>
      <c r="M200" s="1" t="n">
        <f aca="false">IF(A200&lt;$F$13, 0, IF(AND($B$21=1, A200&gt;$B$19), 0, $E$13 * $G$13^((A200-$F$13)/12)))</f>
        <v>0</v>
      </c>
      <c r="N200" s="1" t="n">
        <f aca="false">IF(A200&lt;$F$14, 0, IF(AND($B$21=1, A200&gt;$B$19), 0, $E$14 * $G$14^((A200-$F$14)/12)))</f>
        <v>0</v>
      </c>
      <c r="O200" s="1" t="n">
        <f aca="false">SUM(F200:N200)</f>
        <v>34.3517643029201</v>
      </c>
      <c r="P200" s="1" t="n">
        <f aca="false">O200/12</f>
        <v>2.86264702524334</v>
      </c>
      <c r="Q200" s="1" t="n">
        <f aca="false">P200*$B$8</f>
        <v>0.286264702524334</v>
      </c>
      <c r="R200" s="1" t="n">
        <f aca="false">P200*$B$9</f>
        <v>0.143132351262167</v>
      </c>
      <c r="S200" s="1" t="n">
        <f aca="false">P200*$B$10</f>
        <v>0.1717588215146</v>
      </c>
      <c r="T200" s="1" t="n">
        <f aca="false">P200-Q200-R200-S200-D200-E200</f>
        <v>1.62507448327557</v>
      </c>
      <c r="U200" s="1" t="n">
        <f aca="false">MAX(0, T200 - $B$7*P200)</f>
        <v>0</v>
      </c>
      <c r="V200" s="1" t="n">
        <f aca="false">T200-U200</f>
        <v>1.62507448327557</v>
      </c>
      <c r="W200" s="1" t="n">
        <f aca="false"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>0</v>
      </c>
      <c r="X200" s="1" t="n">
        <f aca="false">V200-W200-C200</f>
        <v>1.62507448327557</v>
      </c>
      <c r="Y200" s="1" t="n">
        <f aca="false">IF(AND(A200&lt;=$F$10, X200&gt;0), X200*$B$23, 0)</f>
        <v>0</v>
      </c>
      <c r="Z200" s="1" t="n">
        <f aca="false">X200-Y200+IF(A200=$F$10+1, MAX(0, SUM(INDEX(Y:Y,31):INDEX(Y:Y,30+$F$10)) - ('1. Press Assumptions'!$D$93*'1. Press Assumptions'!$E$93 - '1. Press Assumptions'!$D$93*0.1154*0.5)), 0)</f>
        <v>1.62507448327557</v>
      </c>
      <c r="AA200" s="1" t="n">
        <f aca="false">IF(AND(A200=$B$19, $B$21=1), O200*$B$20, 0)</f>
        <v>0</v>
      </c>
      <c r="AB200" s="1" t="n">
        <f aca="false">AB199+Z200+AA200</f>
        <v>493.509605710333</v>
      </c>
    </row>
    <row r="201" customFormat="false" ht="15" hidden="false" customHeight="true" outlineLevel="0" collapsed="false">
      <c r="A201" s="1" t="n">
        <v>171</v>
      </c>
      <c r="B201" s="1" t="n">
        <f aca="false">CEILING(A201/12,1)</f>
        <v>15</v>
      </c>
      <c r="C201" s="1" t="n">
        <f aca="false">IF(A201&lt;=18, $B$15/12, 0)</f>
        <v>0</v>
      </c>
      <c r="D201" s="1" t="n">
        <f aca="false">INDEX('26. Team Comp'!$D$28:$R$28, B201) * 0.001 / 12</f>
        <v>0.636416666666667</v>
      </c>
      <c r="E201" s="1" t="n">
        <f aca="false"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>0</v>
      </c>
      <c r="F201" s="1" t="n">
        <f aca="false">IF(A201&lt;$F$6, 0, IF(AND($B$21=1, A201&gt;$B$19), 0, $E$6 * $G$6^((A201-$F$6)/12)))</f>
        <v>12.2440994652517</v>
      </c>
      <c r="G201" s="1" t="n">
        <f aca="false">IF(A201&lt;$F$7, 0, IF(AND($B$21=1, A201&gt;$B$19), 0, $E$7 * $G$7^((A201-$F$7)/12)))</f>
        <v>5.97586478069864</v>
      </c>
      <c r="H201" s="1" t="n">
        <f aca="false">IF(A201&lt;$F$8, 0, IF(AND($B$21=1, A201&gt;$B$19), 0, $E$8 * $G$8^((A201-$F$8)/12)))</f>
        <v>2.90228979240342</v>
      </c>
      <c r="I201" s="1" t="n">
        <f aca="false">IF(A201&lt;$F$9, 0, IF(AND($B$21=1, A201&gt;$B$19), 0, $E$9 * $G$9^((A201-$F$9)/12)))</f>
        <v>3.06385211545293</v>
      </c>
      <c r="J201" s="1" t="n">
        <f aca="false">IF(A201&lt;$F$10, 0, IF(AND($B$21=1, A201&gt;$B$19), 0, $E$10 * $G$10^((A201-$F$10)/12)))</f>
        <v>9.93659524433451</v>
      </c>
      <c r="K201" s="1" t="n">
        <f aca="false">IF(A201&lt;$F$11, 0, IF(AND($B$21=1, A201&gt;$B$19), 0, $E$11 * $G$11^((A201-$F$11)/12)))</f>
        <v>0</v>
      </c>
      <c r="L201" s="1" t="n">
        <f aca="false">IF(A201&lt;$F$12, 0, IF(AND($B$21=1, A201&gt;$B$19), 0, $E$12 * $G$12^((A201-$F$12)/12)))</f>
        <v>0</v>
      </c>
      <c r="M201" s="1" t="n">
        <f aca="false">IF(A201&lt;$F$13, 0, IF(AND($B$21=1, A201&gt;$B$19), 0, $E$13 * $G$13^((A201-$F$13)/12)))</f>
        <v>0</v>
      </c>
      <c r="N201" s="1" t="n">
        <f aca="false">IF(A201&lt;$F$14, 0, IF(AND($B$21=1, A201&gt;$B$19), 0, $E$14 * $G$14^((A201-$F$14)/12)))</f>
        <v>0</v>
      </c>
      <c r="O201" s="1" t="n">
        <f aca="false">SUM(F201:N201)</f>
        <v>34.1227013981412</v>
      </c>
      <c r="P201" s="1" t="n">
        <f aca="false">O201/12</f>
        <v>2.8435584498451</v>
      </c>
      <c r="Q201" s="1" t="n">
        <f aca="false">P201*$B$8</f>
        <v>0.28435584498451</v>
      </c>
      <c r="R201" s="1" t="n">
        <f aca="false">P201*$B$9</f>
        <v>0.142177922492255</v>
      </c>
      <c r="S201" s="1" t="n">
        <f aca="false">P201*$B$10</f>
        <v>0.170613506990706</v>
      </c>
      <c r="T201" s="1" t="n">
        <f aca="false">P201-Q201-R201-S201-D201-E201</f>
        <v>1.60999450871096</v>
      </c>
      <c r="U201" s="1" t="n">
        <f aca="false">MAX(0, T201 - $B$7*P201)</f>
        <v>0</v>
      </c>
      <c r="V201" s="1" t="n">
        <f aca="false">T201-U201</f>
        <v>1.60999450871096</v>
      </c>
      <c r="W201" s="1" t="n">
        <f aca="false"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>0</v>
      </c>
      <c r="X201" s="1" t="n">
        <f aca="false">V201-W201-C201</f>
        <v>1.60999450871096</v>
      </c>
      <c r="Y201" s="1" t="n">
        <f aca="false">IF(AND(A201&lt;=$F$10, X201&gt;0), X201*$B$23, 0)</f>
        <v>0</v>
      </c>
      <c r="Z201" s="1" t="n">
        <f aca="false">X201-Y201+IF(A201=$F$10+1, MAX(0, SUM(INDEX(Y:Y,31):INDEX(Y:Y,30+$F$10)) - ('1. Press Assumptions'!$D$93*'1. Press Assumptions'!$E$93 - '1. Press Assumptions'!$D$93*0.1154*0.5)), 0)</f>
        <v>1.60999450871096</v>
      </c>
      <c r="AA201" s="1" t="n">
        <f aca="false">IF(AND(A201=$B$19, $B$21=1), O201*$B$20, 0)</f>
        <v>0</v>
      </c>
      <c r="AB201" s="1" t="n">
        <f aca="false">AB200+Z201+AA201</f>
        <v>495.119600219044</v>
      </c>
    </row>
    <row r="202" customFormat="false" ht="15" hidden="false" customHeight="true" outlineLevel="0" collapsed="false">
      <c r="A202" s="1" t="n">
        <v>172</v>
      </c>
      <c r="B202" s="1" t="n">
        <f aca="false">CEILING(A202/12,1)</f>
        <v>15</v>
      </c>
      <c r="C202" s="1" t="n">
        <f aca="false">IF(A202&lt;=18, $B$15/12, 0)</f>
        <v>0</v>
      </c>
      <c r="D202" s="1" t="n">
        <f aca="false">INDEX('26. Team Comp'!$D$28:$R$28, B202) * 0.001 / 12</f>
        <v>0.636416666666667</v>
      </c>
      <c r="E202" s="1" t="n">
        <f aca="false"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>0</v>
      </c>
      <c r="F202" s="1" t="n">
        <f aca="false">IF(A202&lt;$F$6, 0, IF(AND($B$21=1, A202&gt;$B$19), 0, $E$6 * $G$6^((A202-$F$6)/12)))</f>
        <v>12.1918744778882</v>
      </c>
      <c r="G202" s="1" t="n">
        <f aca="false">IF(A202&lt;$F$7, 0, IF(AND($B$21=1, A202&gt;$B$19), 0, $E$7 * $G$7^((A202-$F$7)/12)))</f>
        <v>5.9236260956679</v>
      </c>
      <c r="H202" s="1" t="n">
        <f aca="false">IF(A202&lt;$F$8, 0, IF(AND($B$21=1, A202&gt;$B$19), 0, $E$8 * $G$8^((A202-$F$8)/12)))</f>
        <v>2.86324834390292</v>
      </c>
      <c r="I202" s="1" t="n">
        <f aca="false">IF(A202&lt;$F$9, 0, IF(AND($B$21=1, A202&gt;$B$19), 0, $E$9 * $G$9^((A202-$F$9)/12)))</f>
        <v>3.02263733914366</v>
      </c>
      <c r="J202" s="1" t="n">
        <f aca="false">IF(A202&lt;$F$10, 0, IF(AND($B$21=1, A202&gt;$B$19), 0, $E$10 * $G$10^((A202-$F$10)/12)))</f>
        <v>9.89421249805383</v>
      </c>
      <c r="K202" s="1" t="n">
        <f aca="false">IF(A202&lt;$F$11, 0, IF(AND($B$21=1, A202&gt;$B$19), 0, $E$11 * $G$11^((A202-$F$11)/12)))</f>
        <v>0</v>
      </c>
      <c r="L202" s="1" t="n">
        <f aca="false">IF(A202&lt;$F$12, 0, IF(AND($B$21=1, A202&gt;$B$19), 0, $E$12 * $G$12^((A202-$F$12)/12)))</f>
        <v>0</v>
      </c>
      <c r="M202" s="1" t="n">
        <f aca="false">IF(A202&lt;$F$13, 0, IF(AND($B$21=1, A202&gt;$B$19), 0, $E$13 * $G$13^((A202-$F$13)/12)))</f>
        <v>0</v>
      </c>
      <c r="N202" s="1" t="n">
        <f aca="false">IF(A202&lt;$F$14, 0, IF(AND($B$21=1, A202&gt;$B$19), 0, $E$14 * $G$14^((A202-$F$14)/12)))</f>
        <v>0</v>
      </c>
      <c r="O202" s="1" t="n">
        <f aca="false">SUM(F202:N202)</f>
        <v>33.8955987546566</v>
      </c>
      <c r="P202" s="1" t="n">
        <f aca="false">O202/12</f>
        <v>2.82463322955471</v>
      </c>
      <c r="Q202" s="1" t="n">
        <f aca="false">P202*$B$8</f>
        <v>0.282463322955471</v>
      </c>
      <c r="R202" s="1" t="n">
        <f aca="false">P202*$B$9</f>
        <v>0.141231661477736</v>
      </c>
      <c r="S202" s="1" t="n">
        <f aca="false">P202*$B$10</f>
        <v>0.169477993773283</v>
      </c>
      <c r="T202" s="1" t="n">
        <f aca="false">P202-Q202-R202-S202-D202-E202</f>
        <v>1.59504358468156</v>
      </c>
      <c r="U202" s="1" t="n">
        <f aca="false">MAX(0, T202 - $B$7*P202)</f>
        <v>0</v>
      </c>
      <c r="V202" s="1" t="n">
        <f aca="false">T202-U202</f>
        <v>1.59504358468156</v>
      </c>
      <c r="W202" s="1" t="n">
        <f aca="false"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>0</v>
      </c>
      <c r="X202" s="1" t="n">
        <f aca="false">V202-W202-C202</f>
        <v>1.59504358468156</v>
      </c>
      <c r="Y202" s="1" t="n">
        <f aca="false">IF(AND(A202&lt;=$F$10, X202&gt;0), X202*$B$23, 0)</f>
        <v>0</v>
      </c>
      <c r="Z202" s="1" t="n">
        <f aca="false">X202-Y202+IF(A202=$F$10+1, MAX(0, SUM(INDEX(Y:Y,31):INDEX(Y:Y,30+$F$10)) - ('1. Press Assumptions'!$D$93*'1. Press Assumptions'!$E$93 - '1. Press Assumptions'!$D$93*0.1154*0.5)), 0)</f>
        <v>1.59504358468156</v>
      </c>
      <c r="AA202" s="1" t="n">
        <f aca="false">IF(AND(A202=$B$19, $B$21=1), O202*$B$20, 0)</f>
        <v>0</v>
      </c>
      <c r="AB202" s="1" t="n">
        <f aca="false">AB201+Z202+AA202</f>
        <v>496.714643803726</v>
      </c>
    </row>
    <row r="203" customFormat="false" ht="15" hidden="false" customHeight="true" outlineLevel="0" collapsed="false">
      <c r="A203" s="1" t="n">
        <v>173</v>
      </c>
      <c r="B203" s="1" t="n">
        <f aca="false">CEILING(A203/12,1)</f>
        <v>15</v>
      </c>
      <c r="C203" s="1" t="n">
        <f aca="false">IF(A203&lt;=18, $B$15/12, 0)</f>
        <v>0</v>
      </c>
      <c r="D203" s="1" t="n">
        <f aca="false">INDEX('26. Team Comp'!$D$28:$R$28, B203) * 0.001 / 12</f>
        <v>0.636416666666667</v>
      </c>
      <c r="E203" s="1" t="n">
        <f aca="false"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>0</v>
      </c>
      <c r="F203" s="1" t="n">
        <f aca="false">IF(A203&lt;$F$6, 0, IF(AND($B$21=1, A203&gt;$B$19), 0, $E$6 * $G$6^((A203-$F$6)/12)))</f>
        <v>12.139872246744</v>
      </c>
      <c r="G203" s="1" t="n">
        <f aca="false">IF(A203&lt;$F$7, 0, IF(AND($B$21=1, A203&gt;$B$19), 0, $E$7 * $G$7^((A203-$F$7)/12)))</f>
        <v>5.87184406089848</v>
      </c>
      <c r="H203" s="1" t="n">
        <f aca="false">IF(A203&lt;$F$8, 0, IF(AND($B$21=1, A203&gt;$B$19), 0, $E$8 * $G$8^((A203-$F$8)/12)))</f>
        <v>2.82473207889892</v>
      </c>
      <c r="I203" s="1" t="n">
        <f aca="false">IF(A203&lt;$F$9, 0, IF(AND($B$21=1, A203&gt;$B$19), 0, $E$9 * $G$9^((A203-$F$9)/12)))</f>
        <v>2.9819769818214</v>
      </c>
      <c r="J203" s="1" t="n">
        <f aca="false">IF(A203&lt;$F$10, 0, IF(AND($B$21=1, A203&gt;$B$19), 0, $E$10 * $G$10^((A203-$F$10)/12)))</f>
        <v>9.85201052769671</v>
      </c>
      <c r="K203" s="1" t="n">
        <f aca="false">IF(A203&lt;$F$11, 0, IF(AND($B$21=1, A203&gt;$B$19), 0, $E$11 * $G$11^((A203-$F$11)/12)))</f>
        <v>0</v>
      </c>
      <c r="L203" s="1" t="n">
        <f aca="false">IF(A203&lt;$F$12, 0, IF(AND($B$21=1, A203&gt;$B$19), 0, $E$12 * $G$12^((A203-$F$12)/12)))</f>
        <v>0</v>
      </c>
      <c r="M203" s="1" t="n">
        <f aca="false">IF(A203&lt;$F$13, 0, IF(AND($B$21=1, A203&gt;$B$19), 0, $E$13 * $G$13^((A203-$F$13)/12)))</f>
        <v>0</v>
      </c>
      <c r="N203" s="1" t="n">
        <f aca="false">IF(A203&lt;$F$14, 0, IF(AND($B$21=1, A203&gt;$B$19), 0, $E$14 * $G$14^((A203-$F$14)/12)))</f>
        <v>0</v>
      </c>
      <c r="O203" s="1" t="n">
        <f aca="false">SUM(F203:N203)</f>
        <v>33.6704358960595</v>
      </c>
      <c r="P203" s="1" t="n">
        <f aca="false">O203/12</f>
        <v>2.80586965800496</v>
      </c>
      <c r="Q203" s="1" t="n">
        <f aca="false">P203*$B$8</f>
        <v>0.280586965800496</v>
      </c>
      <c r="R203" s="1" t="n">
        <f aca="false">P203*$B$9</f>
        <v>0.140293482900248</v>
      </c>
      <c r="S203" s="1" t="n">
        <f aca="false">P203*$B$10</f>
        <v>0.168352179480298</v>
      </c>
      <c r="T203" s="1" t="n">
        <f aca="false">P203-Q203-R203-S203-D203-E203</f>
        <v>1.58022036315725</v>
      </c>
      <c r="U203" s="1" t="n">
        <f aca="false">MAX(0, T203 - $B$7*P203)</f>
        <v>0</v>
      </c>
      <c r="V203" s="1" t="n">
        <f aca="false">T203-U203</f>
        <v>1.58022036315725</v>
      </c>
      <c r="W203" s="1" t="n">
        <f aca="false"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>0</v>
      </c>
      <c r="X203" s="1" t="n">
        <f aca="false">V203-W203-C203</f>
        <v>1.58022036315725</v>
      </c>
      <c r="Y203" s="1" t="n">
        <f aca="false">IF(AND(A203&lt;=$F$10, X203&gt;0), X203*$B$23, 0)</f>
        <v>0</v>
      </c>
      <c r="Z203" s="1" t="n">
        <f aca="false">X203-Y203+IF(A203=$F$10+1, MAX(0, SUM(INDEX(Y:Y,31):INDEX(Y:Y,30+$F$10)) - ('1. Press Assumptions'!$D$93*'1. Press Assumptions'!$E$93 - '1. Press Assumptions'!$D$93*0.1154*0.5)), 0)</f>
        <v>1.58022036315725</v>
      </c>
      <c r="AA203" s="1" t="n">
        <f aca="false">IF(AND(A203=$B$19, $B$21=1), O203*$B$20, 0)</f>
        <v>0</v>
      </c>
      <c r="AB203" s="1" t="n">
        <f aca="false">AB202+Z203+AA203</f>
        <v>498.294864166883</v>
      </c>
    </row>
    <row r="204" customFormat="false" ht="15" hidden="false" customHeight="true" outlineLevel="0" collapsed="false">
      <c r="A204" s="1" t="n">
        <v>174</v>
      </c>
      <c r="B204" s="1" t="n">
        <f aca="false">CEILING(A204/12,1)</f>
        <v>15</v>
      </c>
      <c r="C204" s="1" t="n">
        <f aca="false">IF(A204&lt;=18, $B$15/12, 0)</f>
        <v>0</v>
      </c>
      <c r="D204" s="1" t="n">
        <f aca="false">INDEX('26. Team Comp'!$D$28:$R$28, B204) * 0.001 / 12</f>
        <v>0.636416666666667</v>
      </c>
      <c r="E204" s="1" t="n">
        <f aca="false"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>0</v>
      </c>
      <c r="F204" s="1" t="n">
        <f aca="false">IF(A204&lt;$F$6, 0, IF(AND($B$21=1, A204&gt;$B$19), 0, $E$6 * $G$6^((A204-$F$6)/12)))</f>
        <v>12.0880918216928</v>
      </c>
      <c r="G204" s="1" t="n">
        <f aca="false">IF(A204&lt;$F$7, 0, IF(AND($B$21=1, A204&gt;$B$19), 0, $E$7 * $G$7^((A204-$F$7)/12)))</f>
        <v>5.82051468453146</v>
      </c>
      <c r="H204" s="1" t="n">
        <f aca="false">IF(A204&lt;$F$8, 0, IF(AND($B$21=1, A204&gt;$B$19), 0, $E$8 * $G$8^((A204-$F$8)/12)))</f>
        <v>2.78673393265084</v>
      </c>
      <c r="I204" s="1" t="n">
        <f aca="false">IF(A204&lt;$F$9, 0, IF(AND($B$21=1, A204&gt;$B$19), 0, $E$9 * $G$9^((A204-$F$9)/12)))</f>
        <v>2.94186358547133</v>
      </c>
      <c r="J204" s="1" t="n">
        <f aca="false">IF(A204&lt;$F$10, 0, IF(AND($B$21=1, A204&gt;$B$19), 0, $E$10 * $G$10^((A204-$F$10)/12)))</f>
        <v>9.8099885621962</v>
      </c>
      <c r="K204" s="1" t="n">
        <f aca="false">IF(A204&lt;$F$11, 0, IF(AND($B$21=1, A204&gt;$B$19), 0, $E$11 * $G$11^((A204-$F$11)/12)))</f>
        <v>0</v>
      </c>
      <c r="L204" s="1" t="n">
        <f aca="false">IF(A204&lt;$F$12, 0, IF(AND($B$21=1, A204&gt;$B$19), 0, $E$12 * $G$12^((A204-$F$12)/12)))</f>
        <v>0</v>
      </c>
      <c r="M204" s="1" t="n">
        <f aca="false">IF(A204&lt;$F$13, 0, IF(AND($B$21=1, A204&gt;$B$19), 0, $E$13 * $G$13^((A204-$F$13)/12)))</f>
        <v>0</v>
      </c>
      <c r="N204" s="1" t="n">
        <f aca="false">IF(A204&lt;$F$14, 0, IF(AND($B$21=1, A204&gt;$B$19), 0, $E$14 * $G$14^((A204-$F$14)/12)))</f>
        <v>0</v>
      </c>
      <c r="O204" s="1" t="n">
        <f aca="false">SUM(F204:N204)</f>
        <v>33.4471925865426</v>
      </c>
      <c r="P204" s="1" t="n">
        <f aca="false">O204/12</f>
        <v>2.78726604887855</v>
      </c>
      <c r="Q204" s="1" t="n">
        <f aca="false">P204*$B$8</f>
        <v>0.278726604887855</v>
      </c>
      <c r="R204" s="1" t="n">
        <f aca="false">P204*$B$9</f>
        <v>0.139363302443928</v>
      </c>
      <c r="S204" s="1" t="n">
        <f aca="false">P204*$B$10</f>
        <v>0.167235962932713</v>
      </c>
      <c r="T204" s="1" t="n">
        <f aca="false">P204-Q204-R204-S204-D204-E204</f>
        <v>1.56552351194739</v>
      </c>
      <c r="U204" s="1" t="n">
        <f aca="false">MAX(0, T204 - $B$7*P204)</f>
        <v>0</v>
      </c>
      <c r="V204" s="1" t="n">
        <f aca="false">T204-U204</f>
        <v>1.56552351194739</v>
      </c>
      <c r="W204" s="1" t="n">
        <f aca="false"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>0</v>
      </c>
      <c r="X204" s="1" t="n">
        <f aca="false">V204-W204-C204</f>
        <v>1.56552351194739</v>
      </c>
      <c r="Y204" s="1" t="n">
        <f aca="false">IF(AND(A204&lt;=$F$10, X204&gt;0), X204*$B$23, 0)</f>
        <v>0</v>
      </c>
      <c r="Z204" s="1" t="n">
        <f aca="false">X204-Y204+IF(A204=$F$10+1, MAX(0, SUM(INDEX(Y:Y,31):INDEX(Y:Y,30+$F$10)) - ('1. Press Assumptions'!$D$93*'1. Press Assumptions'!$E$93 - '1. Press Assumptions'!$D$93*0.1154*0.5)), 0)</f>
        <v>1.56552351194739</v>
      </c>
      <c r="AA204" s="1" t="n">
        <f aca="false">IF(AND(A204=$B$19, $B$21=1), O204*$B$20, 0)</f>
        <v>0</v>
      </c>
      <c r="AB204" s="1" t="n">
        <f aca="false">AB203+Z204+AA204</f>
        <v>499.860387678831</v>
      </c>
    </row>
    <row r="205" customFormat="false" ht="15" hidden="false" customHeight="true" outlineLevel="0" collapsed="false">
      <c r="A205" s="1" t="n">
        <v>175</v>
      </c>
      <c r="B205" s="1" t="n">
        <f aca="false">CEILING(A205/12,1)</f>
        <v>15</v>
      </c>
      <c r="C205" s="1" t="n">
        <f aca="false">IF(A205&lt;=18, $B$15/12, 0)</f>
        <v>0</v>
      </c>
      <c r="D205" s="1" t="n">
        <f aca="false">INDEX('26. Team Comp'!$D$28:$R$28, B205) * 0.001 / 12</f>
        <v>0.636416666666667</v>
      </c>
      <c r="E205" s="1" t="n">
        <f aca="false"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>0</v>
      </c>
      <c r="F205" s="1" t="n">
        <f aca="false">IF(A205&lt;$F$6, 0, IF(AND($B$21=1, A205&gt;$B$19), 0, $E$6 * $G$6^((A205-$F$6)/12)))</f>
        <v>12.0365322566609</v>
      </c>
      <c r="G205" s="1" t="n">
        <f aca="false">IF(A205&lt;$F$7, 0, IF(AND($B$21=1, A205&gt;$B$19), 0, $E$7 * $G$7^((A205-$F$7)/12)))</f>
        <v>5.76963400960319</v>
      </c>
      <c r="H205" s="1" t="n">
        <f aca="false">IF(A205&lt;$F$8, 0, IF(AND($B$21=1, A205&gt;$B$19), 0, $E$8 * $G$8^((A205-$F$8)/12)))</f>
        <v>2.74924693545265</v>
      </c>
      <c r="I205" s="1" t="n">
        <f aca="false">IF(A205&lt;$F$9, 0, IF(AND($B$21=1, A205&gt;$B$19), 0, $E$9 * $G$9^((A205-$F$9)/12)))</f>
        <v>2.90228979240342</v>
      </c>
      <c r="J205" s="1" t="n">
        <f aca="false">IF(A205&lt;$F$10, 0, IF(AND($B$21=1, A205&gt;$B$19), 0, $E$10 * $G$10^((A205-$F$10)/12)))</f>
        <v>9.76814583377421</v>
      </c>
      <c r="K205" s="1" t="n">
        <f aca="false">IF(A205&lt;$F$11, 0, IF(AND($B$21=1, A205&gt;$B$19), 0, $E$11 * $G$11^((A205-$F$11)/12)))</f>
        <v>0</v>
      </c>
      <c r="L205" s="1" t="n">
        <f aca="false">IF(A205&lt;$F$12, 0, IF(AND($B$21=1, A205&gt;$B$19), 0, $E$12 * $G$12^((A205-$F$12)/12)))</f>
        <v>0</v>
      </c>
      <c r="M205" s="1" t="n">
        <f aca="false">IF(A205&lt;$F$13, 0, IF(AND($B$21=1, A205&gt;$B$19), 0, $E$13 * $G$13^((A205-$F$13)/12)))</f>
        <v>0</v>
      </c>
      <c r="N205" s="1" t="n">
        <f aca="false">IF(A205&lt;$F$14, 0, IF(AND($B$21=1, A205&gt;$B$19), 0, $E$14 * $G$14^((A205-$F$14)/12)))</f>
        <v>0</v>
      </c>
      <c r="O205" s="1" t="n">
        <f aca="false">SUM(F205:N205)</f>
        <v>33.2258488278943</v>
      </c>
      <c r="P205" s="1" t="n">
        <f aca="false">O205/12</f>
        <v>2.76882073565786</v>
      </c>
      <c r="Q205" s="1" t="n">
        <f aca="false">P205*$B$8</f>
        <v>0.276882073565786</v>
      </c>
      <c r="R205" s="1" t="n">
        <f aca="false">P205*$B$9</f>
        <v>0.138441036782893</v>
      </c>
      <c r="S205" s="1" t="n">
        <f aca="false">P205*$B$10</f>
        <v>0.166129244139472</v>
      </c>
      <c r="T205" s="1" t="n">
        <f aca="false">P205-Q205-R205-S205-D205-E205</f>
        <v>1.55095171450304</v>
      </c>
      <c r="U205" s="1" t="n">
        <f aca="false">MAX(0, T205 - $B$7*P205)</f>
        <v>0</v>
      </c>
      <c r="V205" s="1" t="n">
        <f aca="false">T205-U205</f>
        <v>1.55095171450304</v>
      </c>
      <c r="W205" s="1" t="n">
        <f aca="false"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>0</v>
      </c>
      <c r="X205" s="1" t="n">
        <f aca="false">V205-W205-C205</f>
        <v>1.55095171450304</v>
      </c>
      <c r="Y205" s="1" t="n">
        <f aca="false">IF(AND(A205&lt;=$F$10, X205&gt;0), X205*$B$23, 0)</f>
        <v>0</v>
      </c>
      <c r="Z205" s="1" t="n">
        <f aca="false">X205-Y205+IF(A205=$F$10+1, MAX(0, SUM(INDEX(Y:Y,31):INDEX(Y:Y,30+$F$10)) - ('1. Press Assumptions'!$D$93*'1. Press Assumptions'!$E$93 - '1. Press Assumptions'!$D$93*0.1154*0.5)), 0)</f>
        <v>1.55095171450304</v>
      </c>
      <c r="AA205" s="1" t="n">
        <f aca="false">IF(AND(A205=$B$19, $B$21=1), O205*$B$20, 0)</f>
        <v>0</v>
      </c>
      <c r="AB205" s="1" t="n">
        <f aca="false">AB204+Z205+AA205</f>
        <v>501.411339393334</v>
      </c>
    </row>
    <row r="206" customFormat="false" ht="15" hidden="false" customHeight="true" outlineLevel="0" collapsed="false">
      <c r="A206" s="1" t="n">
        <v>176</v>
      </c>
      <c r="B206" s="1" t="n">
        <f aca="false">CEILING(A206/12,1)</f>
        <v>15</v>
      </c>
      <c r="C206" s="1" t="n">
        <f aca="false">IF(A206&lt;=18, $B$15/12, 0)</f>
        <v>0</v>
      </c>
      <c r="D206" s="1" t="n">
        <f aca="false">INDEX('26. Team Comp'!$D$28:$R$28, B206) * 0.001 / 12</f>
        <v>0.636416666666667</v>
      </c>
      <c r="E206" s="1" t="n">
        <f aca="false"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>0</v>
      </c>
      <c r="F206" s="1" t="n">
        <f aca="false">IF(A206&lt;$F$6, 0, IF(AND($B$21=1, A206&gt;$B$19), 0, $E$6 * $G$6^((A206-$F$6)/12)))</f>
        <v>11.9851926096098</v>
      </c>
      <c r="G206" s="1" t="n">
        <f aca="false">IF(A206&lt;$F$7, 0, IF(AND($B$21=1, A206&gt;$B$19), 0, $E$7 * $G$7^((A206-$F$7)/12)))</f>
        <v>5.71919811374025</v>
      </c>
      <c r="H206" s="1" t="n">
        <f aca="false">IF(A206&lt;$F$8, 0, IF(AND($B$21=1, A206&gt;$B$19), 0, $E$8 * $G$8^((A206-$F$8)/12)))</f>
        <v>2.71226421135439</v>
      </c>
      <c r="I206" s="1" t="n">
        <f aca="false">IF(A206&lt;$F$9, 0, IF(AND($B$21=1, A206&gt;$B$19), 0, $E$9 * $G$9^((A206-$F$9)/12)))</f>
        <v>2.86324834390292</v>
      </c>
      <c r="J206" s="1" t="n">
        <f aca="false">IF(A206&lt;$F$10, 0, IF(AND($B$21=1, A206&gt;$B$19), 0, $E$10 * $G$10^((A206-$F$10)/12)))</f>
        <v>9.72648157792746</v>
      </c>
      <c r="K206" s="1" t="n">
        <f aca="false">IF(A206&lt;$F$11, 0, IF(AND($B$21=1, A206&gt;$B$19), 0, $E$11 * $G$11^((A206-$F$11)/12)))</f>
        <v>0</v>
      </c>
      <c r="L206" s="1" t="n">
        <f aca="false">IF(A206&lt;$F$12, 0, IF(AND($B$21=1, A206&gt;$B$19), 0, $E$12 * $G$12^((A206-$F$12)/12)))</f>
        <v>0</v>
      </c>
      <c r="M206" s="1" t="n">
        <f aca="false">IF(A206&lt;$F$13, 0, IF(AND($B$21=1, A206&gt;$B$19), 0, $E$13 * $G$13^((A206-$F$13)/12)))</f>
        <v>0</v>
      </c>
      <c r="N206" s="1" t="n">
        <f aca="false">IF(A206&lt;$F$14, 0, IF(AND($B$21=1, A206&gt;$B$19), 0, $E$14 * $G$14^((A206-$F$14)/12)))</f>
        <v>0</v>
      </c>
      <c r="O206" s="1" t="n">
        <f aca="false">SUM(F206:N206)</f>
        <v>33.0063848565348</v>
      </c>
      <c r="P206" s="1" t="n">
        <f aca="false">O206/12</f>
        <v>2.7505320713779</v>
      </c>
      <c r="Q206" s="1" t="n">
        <f aca="false">P206*$B$8</f>
        <v>0.27505320713779</v>
      </c>
      <c r="R206" s="1" t="n">
        <f aca="false">P206*$B$9</f>
        <v>0.137526603568895</v>
      </c>
      <c r="S206" s="1" t="n">
        <f aca="false">P206*$B$10</f>
        <v>0.165031924282674</v>
      </c>
      <c r="T206" s="1" t="n">
        <f aca="false">P206-Q206-R206-S206-D206-E206</f>
        <v>1.53650366972188</v>
      </c>
      <c r="U206" s="1" t="n">
        <f aca="false">MAX(0, T206 - $B$7*P206)</f>
        <v>0</v>
      </c>
      <c r="V206" s="1" t="n">
        <f aca="false">T206-U206</f>
        <v>1.53650366972188</v>
      </c>
      <c r="W206" s="1" t="n">
        <f aca="false"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>0</v>
      </c>
      <c r="X206" s="1" t="n">
        <f aca="false">V206-W206-C206</f>
        <v>1.53650366972188</v>
      </c>
      <c r="Y206" s="1" t="n">
        <f aca="false">IF(AND(A206&lt;=$F$10, X206&gt;0), X206*$B$23, 0)</f>
        <v>0</v>
      </c>
      <c r="Z206" s="1" t="n">
        <f aca="false">X206-Y206+IF(A206=$F$10+1, MAX(0, SUM(INDEX(Y:Y,31):INDEX(Y:Y,30+$F$10)) - ('1. Press Assumptions'!$D$93*'1. Press Assumptions'!$E$93 - '1. Press Assumptions'!$D$93*0.1154*0.5)), 0)</f>
        <v>1.53650366972188</v>
      </c>
      <c r="AA206" s="1" t="n">
        <f aca="false">IF(AND(A206=$B$19, $B$21=1), O206*$B$20, 0)</f>
        <v>0</v>
      </c>
      <c r="AB206" s="1" t="n">
        <f aca="false">AB205+Z206+AA206</f>
        <v>502.947843063056</v>
      </c>
    </row>
    <row r="207" customFormat="false" ht="15" hidden="false" customHeight="true" outlineLevel="0" collapsed="false">
      <c r="A207" s="1" t="n">
        <v>177</v>
      </c>
      <c r="B207" s="1" t="n">
        <f aca="false">CEILING(A207/12,1)</f>
        <v>15</v>
      </c>
      <c r="C207" s="1" t="n">
        <f aca="false">IF(A207&lt;=18, $B$15/12, 0)</f>
        <v>0</v>
      </c>
      <c r="D207" s="1" t="n">
        <f aca="false">INDEX('26. Team Comp'!$D$28:$R$28, B207) * 0.001 / 12</f>
        <v>0.636416666666667</v>
      </c>
      <c r="E207" s="1" t="n">
        <f aca="false"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>0</v>
      </c>
      <c r="F207" s="1" t="n">
        <f aca="false">IF(A207&lt;$F$6, 0, IF(AND($B$21=1, A207&gt;$B$19), 0, $E$6 * $G$6^((A207-$F$6)/12)))</f>
        <v>11.9340719425194</v>
      </c>
      <c r="G207" s="1" t="n">
        <f aca="false">IF(A207&lt;$F$7, 0, IF(AND($B$21=1, A207&gt;$B$19), 0, $E$7 * $G$7^((A207-$F$7)/12)))</f>
        <v>5.6692031088571</v>
      </c>
      <c r="H207" s="1" t="n">
        <f aca="false">IF(A207&lt;$F$8, 0, IF(AND($B$21=1, A207&gt;$B$19), 0, $E$8 * $G$8^((A207-$F$8)/12)))</f>
        <v>2.67577897690107</v>
      </c>
      <c r="I207" s="1" t="n">
        <f aca="false">IF(A207&lt;$F$9, 0, IF(AND($B$21=1, A207&gt;$B$19), 0, $E$9 * $G$9^((A207-$F$9)/12)))</f>
        <v>2.82473207889892</v>
      </c>
      <c r="J207" s="1" t="n">
        <f aca="false">IF(A207&lt;$F$10, 0, IF(AND($B$21=1, A207&gt;$B$19), 0, $E$10 * $G$10^((A207-$F$10)/12)))</f>
        <v>9.68499503341353</v>
      </c>
      <c r="K207" s="1" t="n">
        <f aca="false">IF(A207&lt;$F$11, 0, IF(AND($B$21=1, A207&gt;$B$19), 0, $E$11 * $G$11^((A207-$F$11)/12)))</f>
        <v>0</v>
      </c>
      <c r="L207" s="1" t="n">
        <f aca="false">IF(A207&lt;$F$12, 0, IF(AND($B$21=1, A207&gt;$B$19), 0, $E$12 * $G$12^((A207-$F$12)/12)))</f>
        <v>0</v>
      </c>
      <c r="M207" s="1" t="n">
        <f aca="false">IF(A207&lt;$F$13, 0, IF(AND($B$21=1, A207&gt;$B$19), 0, $E$13 * $G$13^((A207-$F$13)/12)))</f>
        <v>0</v>
      </c>
      <c r="N207" s="1" t="n">
        <f aca="false">IF(A207&lt;$F$14, 0, IF(AND($B$21=1, A207&gt;$B$19), 0, $E$14 * $G$14^((A207-$F$14)/12)))</f>
        <v>0</v>
      </c>
      <c r="O207" s="1" t="n">
        <f aca="false">SUM(F207:N207)</f>
        <v>32.78878114059</v>
      </c>
      <c r="P207" s="1" t="n">
        <f aca="false">O207/12</f>
        <v>2.7323984283825</v>
      </c>
      <c r="Q207" s="1" t="n">
        <f aca="false">P207*$B$8</f>
        <v>0.27323984283825</v>
      </c>
      <c r="R207" s="1" t="n">
        <f aca="false">P207*$B$9</f>
        <v>0.136619921419125</v>
      </c>
      <c r="S207" s="1" t="n">
        <f aca="false">P207*$B$10</f>
        <v>0.16394390570295</v>
      </c>
      <c r="T207" s="1" t="n">
        <f aca="false">P207-Q207-R207-S207-D207-E207</f>
        <v>1.52217809175551</v>
      </c>
      <c r="U207" s="1" t="n">
        <f aca="false">MAX(0, T207 - $B$7*P207)</f>
        <v>0</v>
      </c>
      <c r="V207" s="1" t="n">
        <f aca="false">T207-U207</f>
        <v>1.52217809175551</v>
      </c>
      <c r="W207" s="1" t="n">
        <f aca="false"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>0</v>
      </c>
      <c r="X207" s="1" t="n">
        <f aca="false">V207-W207-C207</f>
        <v>1.52217809175551</v>
      </c>
      <c r="Y207" s="1" t="n">
        <f aca="false">IF(AND(A207&lt;=$F$10, X207&gt;0), X207*$B$23, 0)</f>
        <v>0</v>
      </c>
      <c r="Z207" s="1" t="n">
        <f aca="false">X207-Y207+IF(A207=$F$10+1, MAX(0, SUM(INDEX(Y:Y,31):INDEX(Y:Y,30+$F$10)) - ('1. Press Assumptions'!$D$93*'1. Press Assumptions'!$E$93 - '1. Press Assumptions'!$D$93*0.1154*0.5)), 0)</f>
        <v>1.52217809175551</v>
      </c>
      <c r="AA207" s="1" t="n">
        <f aca="false">IF(AND(A207=$B$19, $B$21=1), O207*$B$20, 0)</f>
        <v>0</v>
      </c>
      <c r="AB207" s="1" t="n">
        <f aca="false">AB206+Z207+AA207</f>
        <v>504.470021154811</v>
      </c>
    </row>
    <row r="208" customFormat="false" ht="15" hidden="false" customHeight="true" outlineLevel="0" collapsed="false">
      <c r="A208" s="1" t="n">
        <v>178</v>
      </c>
      <c r="B208" s="1" t="n">
        <f aca="false">CEILING(A208/12,1)</f>
        <v>15</v>
      </c>
      <c r="C208" s="1" t="n">
        <f aca="false">IF(A208&lt;=18, $B$15/12, 0)</f>
        <v>0</v>
      </c>
      <c r="D208" s="1" t="n">
        <f aca="false">INDEX('26. Team Comp'!$D$28:$R$28, B208) * 0.001 / 12</f>
        <v>0.636416666666667</v>
      </c>
      <c r="E208" s="1" t="n">
        <f aca="false"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>0</v>
      </c>
      <c r="F208" s="1" t="n">
        <f aca="false">IF(A208&lt;$F$6, 0, IF(AND($B$21=1, A208&gt;$B$19), 0, $E$6 * $G$6^((A208-$F$6)/12)))</f>
        <v>11.8831693213702</v>
      </c>
      <c r="G208" s="1" t="n">
        <f aca="false">IF(A208&lt;$F$7, 0, IF(AND($B$21=1, A208&gt;$B$19), 0, $E$7 * $G$7^((A208-$F$7)/12)))</f>
        <v>5.61964514085631</v>
      </c>
      <c r="H208" s="1" t="n">
        <f aca="false">IF(A208&lt;$F$8, 0, IF(AND($B$21=1, A208&gt;$B$19), 0, $E$8 * $G$8^((A208-$F$8)/12)))</f>
        <v>2.63978453988832</v>
      </c>
      <c r="I208" s="1" t="n">
        <f aca="false">IF(A208&lt;$F$9, 0, IF(AND($B$21=1, A208&gt;$B$19), 0, $E$9 * $G$9^((A208-$F$9)/12)))</f>
        <v>2.78673393265084</v>
      </c>
      <c r="J208" s="1" t="n">
        <f aca="false">IF(A208&lt;$F$10, 0, IF(AND($B$21=1, A208&gt;$B$19), 0, $E$10 * $G$10^((A208-$F$10)/12)))</f>
        <v>9.64368544223693</v>
      </c>
      <c r="K208" s="1" t="n">
        <f aca="false">IF(A208&lt;$F$11, 0, IF(AND($B$21=1, A208&gt;$B$19), 0, $E$11 * $G$11^((A208-$F$11)/12)))</f>
        <v>0</v>
      </c>
      <c r="L208" s="1" t="n">
        <f aca="false">IF(A208&lt;$F$12, 0, IF(AND($B$21=1, A208&gt;$B$19), 0, $E$12 * $G$12^((A208-$F$12)/12)))</f>
        <v>0</v>
      </c>
      <c r="M208" s="1" t="n">
        <f aca="false">IF(A208&lt;$F$13, 0, IF(AND($B$21=1, A208&gt;$B$19), 0, $E$13 * $G$13^((A208-$F$13)/12)))</f>
        <v>0</v>
      </c>
      <c r="N208" s="1" t="n">
        <f aca="false">IF(A208&lt;$F$14, 0, IF(AND($B$21=1, A208&gt;$B$19), 0, $E$14 * $G$14^((A208-$F$14)/12)))</f>
        <v>0</v>
      </c>
      <c r="O208" s="1" t="n">
        <f aca="false">SUM(F208:N208)</f>
        <v>32.5730183770026</v>
      </c>
      <c r="P208" s="1" t="n">
        <f aca="false">O208/12</f>
        <v>2.71441819808355</v>
      </c>
      <c r="Q208" s="1" t="n">
        <f aca="false">P208*$B$8</f>
        <v>0.271441819808355</v>
      </c>
      <c r="R208" s="1" t="n">
        <f aca="false">P208*$B$9</f>
        <v>0.135720909904177</v>
      </c>
      <c r="S208" s="1" t="n">
        <f aca="false">P208*$B$10</f>
        <v>0.162865091885013</v>
      </c>
      <c r="T208" s="1" t="n">
        <f aca="false">P208-Q208-R208-S208-D208-E208</f>
        <v>1.50797370981934</v>
      </c>
      <c r="U208" s="1" t="n">
        <f aca="false">MAX(0, T208 - $B$7*P208)</f>
        <v>0</v>
      </c>
      <c r="V208" s="1" t="n">
        <f aca="false">T208-U208</f>
        <v>1.50797370981934</v>
      </c>
      <c r="W208" s="1" t="n">
        <f aca="false"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>0</v>
      </c>
      <c r="X208" s="1" t="n">
        <f aca="false">V208-W208-C208</f>
        <v>1.50797370981934</v>
      </c>
      <c r="Y208" s="1" t="n">
        <f aca="false">IF(AND(A208&lt;=$F$10, X208&gt;0), X208*$B$23, 0)</f>
        <v>0</v>
      </c>
      <c r="Z208" s="1" t="n">
        <f aca="false">X208-Y208+IF(A208=$F$10+1, MAX(0, SUM(INDEX(Y:Y,31):INDEX(Y:Y,30+$F$10)) - ('1. Press Assumptions'!$D$93*'1. Press Assumptions'!$E$93 - '1. Press Assumptions'!$D$93*0.1154*0.5)), 0)</f>
        <v>1.50797370981934</v>
      </c>
      <c r="AA208" s="1" t="n">
        <f aca="false">IF(AND(A208=$B$19, $B$21=1), O208*$B$20, 0)</f>
        <v>0</v>
      </c>
      <c r="AB208" s="1" t="n">
        <f aca="false">AB207+Z208+AA208</f>
        <v>505.97799486463</v>
      </c>
    </row>
    <row r="209" customFormat="false" ht="15" hidden="false" customHeight="true" outlineLevel="0" collapsed="false">
      <c r="A209" s="1" t="n">
        <v>179</v>
      </c>
      <c r="B209" s="1" t="n">
        <f aca="false">CEILING(A209/12,1)</f>
        <v>15</v>
      </c>
      <c r="C209" s="1" t="n">
        <f aca="false">IF(A209&lt;=18, $B$15/12, 0)</f>
        <v>0</v>
      </c>
      <c r="D209" s="1" t="n">
        <f aca="false">INDEX('26. Team Comp'!$D$28:$R$28, B209) * 0.001 / 12</f>
        <v>0.636416666666667</v>
      </c>
      <c r="E209" s="1" t="n">
        <f aca="false"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>0</v>
      </c>
      <c r="F209" s="1" t="n">
        <f aca="false">IF(A209&lt;$F$6, 0, IF(AND($B$21=1, A209&gt;$B$19), 0, $E$6 * $G$6^((A209-$F$6)/12)))</f>
        <v>11.8324838161268</v>
      </c>
      <c r="G209" s="1" t="n">
        <f aca="false">IF(A209&lt;$F$7, 0, IF(AND($B$21=1, A209&gt;$B$19), 0, $E$7 * $G$7^((A209-$F$7)/12)))</f>
        <v>5.5705203893315</v>
      </c>
      <c r="H209" s="1" t="n">
        <f aca="false">IF(A209&lt;$F$8, 0, IF(AND($B$21=1, A209&gt;$B$19), 0, $E$8 * $G$8^((A209-$F$8)/12)))</f>
        <v>2.60427429813499</v>
      </c>
      <c r="I209" s="1" t="n">
        <f aca="false">IF(A209&lt;$F$9, 0, IF(AND($B$21=1, A209&gt;$B$19), 0, $E$9 * $G$9^((A209-$F$9)/12)))</f>
        <v>2.74924693545265</v>
      </c>
      <c r="J209" s="1" t="n">
        <f aca="false">IF(A209&lt;$F$10, 0, IF(AND($B$21=1, A209&gt;$B$19), 0, $E$10 * $G$10^((A209-$F$10)/12)))</f>
        <v>9.60255204963527</v>
      </c>
      <c r="K209" s="1" t="n">
        <f aca="false">IF(A209&lt;$F$11, 0, IF(AND($B$21=1, A209&gt;$B$19), 0, $E$11 * $G$11^((A209-$F$11)/12)))</f>
        <v>0</v>
      </c>
      <c r="L209" s="1" t="n">
        <f aca="false">IF(A209&lt;$F$12, 0, IF(AND($B$21=1, A209&gt;$B$19), 0, $E$12 * $G$12^((A209-$F$12)/12)))</f>
        <v>0</v>
      </c>
      <c r="M209" s="1" t="n">
        <f aca="false">IF(A209&lt;$F$13, 0, IF(AND($B$21=1, A209&gt;$B$19), 0, $E$13 * $G$13^((A209-$F$13)/12)))</f>
        <v>0</v>
      </c>
      <c r="N209" s="1" t="n">
        <f aca="false">IF(A209&lt;$F$14, 0, IF(AND($B$21=1, A209&gt;$B$19), 0, $E$14 * $G$14^((A209-$F$14)/12)))</f>
        <v>0</v>
      </c>
      <c r="O209" s="1" t="n">
        <f aca="false">SUM(F209:N209)</f>
        <v>32.3590774886812</v>
      </c>
      <c r="P209" s="1" t="n">
        <f aca="false">O209/12</f>
        <v>2.69658979072343</v>
      </c>
      <c r="Q209" s="1" t="n">
        <f aca="false">P209*$B$8</f>
        <v>0.269658979072343</v>
      </c>
      <c r="R209" s="1" t="n">
        <f aca="false">P209*$B$9</f>
        <v>0.134829489536172</v>
      </c>
      <c r="S209" s="1" t="n">
        <f aca="false">P209*$B$10</f>
        <v>0.161795387443406</v>
      </c>
      <c r="T209" s="1" t="n">
        <f aca="false">P209-Q209-R209-S209-D209-E209</f>
        <v>1.49388926800485</v>
      </c>
      <c r="U209" s="1" t="n">
        <f aca="false">MAX(0, T209 - $B$7*P209)</f>
        <v>0</v>
      </c>
      <c r="V209" s="1" t="n">
        <f aca="false">T209-U209</f>
        <v>1.49388926800485</v>
      </c>
      <c r="W209" s="1" t="n">
        <f aca="false"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>0</v>
      </c>
      <c r="X209" s="1" t="n">
        <f aca="false">V209-W209-C209</f>
        <v>1.49388926800485</v>
      </c>
      <c r="Y209" s="1" t="n">
        <f aca="false">IF(AND(A209&lt;=$F$10, X209&gt;0), X209*$B$23, 0)</f>
        <v>0</v>
      </c>
      <c r="Z209" s="1" t="n">
        <f aca="false">X209-Y209+IF(A209=$F$10+1, MAX(0, SUM(INDEX(Y:Y,31):INDEX(Y:Y,30+$F$10)) - ('1. Press Assumptions'!$D$93*'1. Press Assumptions'!$E$93 - '1. Press Assumptions'!$D$93*0.1154*0.5)), 0)</f>
        <v>1.49388926800485</v>
      </c>
      <c r="AA209" s="1" t="n">
        <f aca="false">IF(AND(A209=$B$19, $B$21=1), O209*$B$20, 0)</f>
        <v>0</v>
      </c>
      <c r="AB209" s="1" t="n">
        <f aca="false">AB208+Z209+AA209</f>
        <v>507.471884132635</v>
      </c>
    </row>
    <row r="210" customFormat="false" ht="15" hidden="false" customHeight="true" outlineLevel="0" collapsed="false">
      <c r="A210" s="1" t="n">
        <v>180</v>
      </c>
      <c r="B210" s="1" t="n">
        <f aca="false">CEILING(A210/12,1)</f>
        <v>15</v>
      </c>
      <c r="C210" s="1" t="n">
        <f aca="false">IF(A210&lt;=18, $B$15/12, 0)</f>
        <v>0</v>
      </c>
      <c r="D210" s="1" t="n">
        <f aca="false">INDEX('26. Team Comp'!$D$28:$R$28, B210) * 0.001 / 12</f>
        <v>0.636416666666667</v>
      </c>
      <c r="E210" s="1" t="n">
        <f aca="false"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>0</v>
      </c>
      <c r="F210" s="1" t="n">
        <f aca="false">IF(A210&lt;$F$6, 0, IF(AND($B$21=1, A210&gt;$B$19), 0, $E$6 * $G$6^((A210-$F$6)/12)))</f>
        <v>11.7820145007207</v>
      </c>
      <c r="G210" s="1" t="n">
        <f aca="false">IF(A210&lt;$F$7, 0, IF(AND($B$21=1, A210&gt;$B$19), 0, $E$7 * $G$7^((A210-$F$7)/12)))</f>
        <v>5.52182506727275</v>
      </c>
      <c r="H210" s="1" t="n">
        <f aca="false">IF(A210&lt;$F$8, 0, IF(AND($B$21=1, A210&gt;$B$19), 0, $E$8 * $G$8^((A210-$F$8)/12)))</f>
        <v>2.56924173827211</v>
      </c>
      <c r="I210" s="1" t="n">
        <f aca="false">IF(A210&lt;$F$9, 0, IF(AND($B$21=1, A210&gt;$B$19), 0, $E$9 * $G$9^((A210-$F$9)/12)))</f>
        <v>2.71226421135439</v>
      </c>
      <c r="J210" s="1" t="n">
        <f aca="false">IF(A210&lt;$F$10, 0, IF(AND($B$21=1, A210&gt;$B$19), 0, $E$10 * $G$10^((A210-$F$10)/12)))</f>
        <v>9.56159410406545</v>
      </c>
      <c r="K210" s="1" t="n">
        <f aca="false">IF(A210&lt;$F$11, 0, IF(AND($B$21=1, A210&gt;$B$19), 0, $E$11 * $G$11^((A210-$F$11)/12)))</f>
        <v>0</v>
      </c>
      <c r="L210" s="1" t="n">
        <f aca="false">IF(A210&lt;$F$12, 0, IF(AND($B$21=1, A210&gt;$B$19), 0, $E$12 * $G$12^((A210-$F$12)/12)))</f>
        <v>0</v>
      </c>
      <c r="M210" s="1" t="n">
        <f aca="false">IF(A210&lt;$F$13, 0, IF(AND($B$21=1, A210&gt;$B$19), 0, $E$13 * $G$13^((A210-$F$13)/12)))</f>
        <v>0</v>
      </c>
      <c r="N210" s="1" t="n">
        <f aca="false">IF(A210&lt;$F$14, 0, IF(AND($B$21=1, A210&gt;$B$19), 0, $E$14 * $G$14^((A210-$F$14)/12)))</f>
        <v>0</v>
      </c>
      <c r="O210" s="1" t="n">
        <f aca="false">SUM(F210:N210)</f>
        <v>32.1469396216854</v>
      </c>
      <c r="P210" s="1" t="n">
        <f aca="false">O210/12</f>
        <v>2.67891163514045</v>
      </c>
      <c r="Q210" s="1" t="n">
        <f aca="false">P210*$B$8</f>
        <v>0.267891163514045</v>
      </c>
      <c r="R210" s="1" t="n">
        <f aca="false">P210*$B$9</f>
        <v>0.133945581757023</v>
      </c>
      <c r="S210" s="1" t="n">
        <f aca="false">P210*$B$10</f>
        <v>0.160734698108427</v>
      </c>
      <c r="T210" s="1" t="n">
        <f aca="false">P210-Q210-R210-S210-D210-E210</f>
        <v>1.47992352509429</v>
      </c>
      <c r="U210" s="1" t="n">
        <f aca="false">MAX(0, T210 - $B$7*P210)</f>
        <v>0</v>
      </c>
      <c r="V210" s="1" t="n">
        <f aca="false">T210-U210</f>
        <v>1.47992352509429</v>
      </c>
      <c r="W210" s="1" t="n">
        <f aca="false"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>0</v>
      </c>
      <c r="X210" s="1" t="n">
        <f aca="false">V210-W210-C210</f>
        <v>1.47992352509429</v>
      </c>
      <c r="Y210" s="1" t="n">
        <f aca="false">IF(AND(A210&lt;=$F$10, X210&gt;0), X210*$B$23, 0)</f>
        <v>0</v>
      </c>
      <c r="Z210" s="1" t="n">
        <f aca="false">X210-Y210+IF(A210=$F$10+1, MAX(0, SUM(INDEX(Y:Y,31):INDEX(Y:Y,30+$F$10)) - ('1. Press Assumptions'!$D$93*'1. Press Assumptions'!$E$93 - '1. Press Assumptions'!$D$93*0.1154*0.5)), 0)</f>
        <v>1.47992352509429</v>
      </c>
      <c r="AA210" s="1" t="n">
        <f aca="false">IF(AND(A210=$B$19, $B$21=1), O210*$B$20, 0) + IF(AND(A210=180, $B$21=0), O210*'1. Press Assumptions'!$B$141, 0)</f>
        <v>0</v>
      </c>
      <c r="AB210" s="1" t="n">
        <f aca="false">AB209+Z210+AA210</f>
        <v>508.95180765773</v>
      </c>
    </row>
    <row r="213" customFormat="false" ht="15" hidden="false" customHeight="true" outlineLevel="0" collapsed="false">
      <c r="A213" s="34" t="s">
        <v>957</v>
      </c>
    </row>
    <row r="214" customFormat="false" ht="27.75" hidden="false" customHeight="true" outlineLevel="0" collapsed="false">
      <c r="A214" s="90" t="s">
        <v>552</v>
      </c>
      <c r="B214" s="90" t="s">
        <v>234</v>
      </c>
      <c r="C214" s="90" t="s">
        <v>33</v>
      </c>
      <c r="D214" s="90" t="s">
        <v>950</v>
      </c>
      <c r="E214" s="90" t="s">
        <v>951</v>
      </c>
      <c r="F214" s="90" t="s">
        <v>938</v>
      </c>
      <c r="G214" s="90" t="s">
        <v>939</v>
      </c>
      <c r="H214" s="90" t="s">
        <v>867</v>
      </c>
      <c r="I214" s="90" t="s">
        <v>244</v>
      </c>
      <c r="J214" s="90" t="s">
        <v>559</v>
      </c>
      <c r="K214" s="90" t="s">
        <v>937</v>
      </c>
      <c r="L214" s="90" t="s">
        <v>953</v>
      </c>
      <c r="M214" s="90" t="s">
        <v>954</v>
      </c>
      <c r="N214" s="90" t="s">
        <v>958</v>
      </c>
      <c r="O214" s="90" t="s">
        <v>959</v>
      </c>
      <c r="P214" s="90" t="s">
        <v>960</v>
      </c>
    </row>
    <row r="215" customFormat="false" ht="15" hidden="false" customHeight="true" outlineLevel="0" collapsed="false">
      <c r="A215" s="1" t="n">
        <v>1</v>
      </c>
      <c r="B215" s="1" t="n">
        <f aca="false">SUM(P31:P42)</f>
        <v>30.7527327279255</v>
      </c>
      <c r="C215" s="1" t="n">
        <f aca="false">SUM(Q31:Q42)</f>
        <v>3.07527327279255</v>
      </c>
      <c r="D215" s="1" t="n">
        <f aca="false">SUM(R31:R42)</f>
        <v>1.53763663639627</v>
      </c>
      <c r="E215" s="1" t="n">
        <f aca="false">SUM(S31:S42)</f>
        <v>1.84516396367553</v>
      </c>
      <c r="F215" s="1" t="n">
        <f aca="false">SUM(D31:D42)</f>
        <v>3.4572699</v>
      </c>
      <c r="G215" s="1" t="n">
        <f aca="false">SUM(E31:E42)</f>
        <v>9.95555555555556</v>
      </c>
      <c r="H215" s="1" t="n">
        <f aca="false">SUM(U31:U42)</f>
        <v>0</v>
      </c>
      <c r="I215" s="1" t="n">
        <f aca="false">SUM(V31:V42)</f>
        <v>10.8818333995056</v>
      </c>
      <c r="J215" s="1" t="n">
        <f aca="false">SUM(W31:W42)</f>
        <v>7.35</v>
      </c>
      <c r="K215" s="1" t="n">
        <f aca="false">SUM(C31:C42)</f>
        <v>3</v>
      </c>
      <c r="L215" s="1" t="n">
        <f aca="false">SUM(X31:X42)</f>
        <v>0.531833399505562</v>
      </c>
      <c r="M215" s="1" t="n">
        <f aca="false">SUM(Y31:Y42)</f>
        <v>2.9830483640566</v>
      </c>
      <c r="N215" s="1" t="n">
        <f aca="false">SUM(Z31:Z42)</f>
        <v>-2.45121496455104</v>
      </c>
      <c r="O215" s="1" t="n">
        <f aca="false">SUM(AA31:AA42)</f>
        <v>0</v>
      </c>
      <c r="P215" s="1" t="n">
        <f aca="false">N215+O215</f>
        <v>-2.45121496455104</v>
      </c>
    </row>
    <row r="216" customFormat="false" ht="15" hidden="false" customHeight="true" outlineLevel="0" collapsed="false">
      <c r="A216" s="1" t="n">
        <v>2</v>
      </c>
      <c r="B216" s="1" t="n">
        <f aca="false">SUM(P43:P54)</f>
        <v>86.9993524454768</v>
      </c>
      <c r="C216" s="1" t="n">
        <f aca="false">SUM(Q43:Q54)</f>
        <v>8.69993524454768</v>
      </c>
      <c r="D216" s="1" t="n">
        <f aca="false">SUM(R43:R54)</f>
        <v>4.34996762227384</v>
      </c>
      <c r="E216" s="1" t="n">
        <f aca="false">SUM(S43:S54)</f>
        <v>5.21996114672861</v>
      </c>
      <c r="F216" s="1" t="n">
        <f aca="false">SUM(D43:D54)</f>
        <v>7.5965239</v>
      </c>
      <c r="G216" s="1" t="n">
        <f aca="false">SUM(E43:E54)</f>
        <v>12.3925925925926</v>
      </c>
      <c r="H216" s="1" t="n">
        <f aca="false">SUM(U43:U54)</f>
        <v>0</v>
      </c>
      <c r="I216" s="1" t="n">
        <f aca="false">SUM(V43:V54)</f>
        <v>48.7403719393341</v>
      </c>
      <c r="J216" s="1" t="n">
        <f aca="false">SUM(W43:W54)</f>
        <v>2.45</v>
      </c>
      <c r="K216" s="1" t="n">
        <f aca="false">SUM(C43:C54)</f>
        <v>1.5</v>
      </c>
      <c r="L216" s="1" t="n">
        <f aca="false">SUM(X43:X54)</f>
        <v>44.7903719393341</v>
      </c>
      <c r="M216" s="1" t="n">
        <f aca="false">SUM(Y43:Y54)</f>
        <v>22.395185969667</v>
      </c>
      <c r="N216" s="1" t="n">
        <f aca="false">SUM(Z43:Z54)</f>
        <v>22.395185969667</v>
      </c>
      <c r="O216" s="1" t="n">
        <f aca="false">SUM(AA43:AA54)</f>
        <v>0</v>
      </c>
      <c r="P216" s="1" t="n">
        <f aca="false">N216+O216</f>
        <v>22.395185969667</v>
      </c>
    </row>
    <row r="217" customFormat="false" ht="15" hidden="false" customHeight="true" outlineLevel="0" collapsed="false">
      <c r="A217" s="1" t="n">
        <v>3</v>
      </c>
      <c r="B217" s="1" t="n">
        <f aca="false">SUM(P55:P66)</f>
        <v>90.3348887718087</v>
      </c>
      <c r="C217" s="1" t="n">
        <f aca="false">SUM(Q55:Q66)</f>
        <v>9.03348887718087</v>
      </c>
      <c r="D217" s="1" t="n">
        <f aca="false">SUM(R55:R66)</f>
        <v>4.51674443859044</v>
      </c>
      <c r="E217" s="1" t="n">
        <f aca="false">SUM(S55:S66)</f>
        <v>5.42009332630852</v>
      </c>
      <c r="F217" s="1" t="n">
        <f aca="false">SUM(D55:D66)</f>
        <v>7.637</v>
      </c>
      <c r="G217" s="1" t="n">
        <f aca="false">SUM(E55:E66)</f>
        <v>6.31296296296296</v>
      </c>
      <c r="H217" s="1" t="n">
        <f aca="false">SUM(U55:U66)</f>
        <v>0</v>
      </c>
      <c r="I217" s="1" t="n">
        <f aca="false">SUM(V55:V66)</f>
        <v>57.4145991667659</v>
      </c>
      <c r="J217" s="1" t="n">
        <f aca="false">SUM(W55:W66)</f>
        <v>2.45</v>
      </c>
      <c r="K217" s="1" t="n">
        <f aca="false">SUM(C55:C66)</f>
        <v>0</v>
      </c>
      <c r="L217" s="1" t="n">
        <f aca="false">SUM(X55:X66)</f>
        <v>54.9645991667659</v>
      </c>
      <c r="M217" s="1" t="n">
        <f aca="false">SUM(Y55:Y66)</f>
        <v>17.4588081692664</v>
      </c>
      <c r="N217" s="1" t="n">
        <f aca="false">SUM(Z55:Z66)</f>
        <v>45.3814335004896</v>
      </c>
      <c r="O217" s="1" t="n">
        <f aca="false">SUM(AA55:AA66)</f>
        <v>0</v>
      </c>
      <c r="P217" s="1" t="n">
        <f aca="false">N217+O217</f>
        <v>45.3814335004896</v>
      </c>
    </row>
    <row r="218" customFormat="false" ht="15" hidden="false" customHeight="true" outlineLevel="0" collapsed="false">
      <c r="A218" s="1" t="n">
        <v>4</v>
      </c>
      <c r="B218" s="1" t="n">
        <f aca="false">SUM(P67:P78)</f>
        <v>90.9345771127878</v>
      </c>
      <c r="C218" s="1" t="n">
        <f aca="false">SUM(Q67:Q78)</f>
        <v>9.09345771127878</v>
      </c>
      <c r="D218" s="1" t="n">
        <f aca="false">SUM(R67:R78)</f>
        <v>4.54672885563939</v>
      </c>
      <c r="E218" s="1" t="n">
        <f aca="false">SUM(S67:S78)</f>
        <v>5.45607462676727</v>
      </c>
      <c r="F218" s="1" t="n">
        <f aca="false">SUM(D67:D78)</f>
        <v>7.637</v>
      </c>
      <c r="G218" s="1" t="n">
        <f aca="false">SUM(E67:E78)</f>
        <v>1.98333333333333</v>
      </c>
      <c r="H218" s="1" t="n">
        <f aca="false">SUM(U67:U78)</f>
        <v>0</v>
      </c>
      <c r="I218" s="1" t="n">
        <f aca="false">SUM(V67:V78)</f>
        <v>62.217982585769</v>
      </c>
      <c r="J218" s="1" t="n">
        <f aca="false">SUM(W67:W78)</f>
        <v>0</v>
      </c>
      <c r="K218" s="1" t="n">
        <f aca="false">SUM(C67:C78)</f>
        <v>0</v>
      </c>
      <c r="L218" s="1" t="n">
        <f aca="false">SUM(X67:X78)</f>
        <v>62.217982585769</v>
      </c>
      <c r="M218" s="1" t="n">
        <f aca="false">SUM(Y67:Y78)</f>
        <v>0</v>
      </c>
      <c r="N218" s="1" t="n">
        <f aca="false">SUM(Z67:Z78)</f>
        <v>62.217982585769</v>
      </c>
      <c r="O218" s="1" t="n">
        <f aca="false">SUM(AA67:AA78)</f>
        <v>0</v>
      </c>
      <c r="P218" s="1" t="n">
        <f aca="false">N218+O218</f>
        <v>62.217982585769</v>
      </c>
    </row>
    <row r="219" customFormat="false" ht="15" hidden="false" customHeight="true" outlineLevel="0" collapsed="false">
      <c r="A219" s="1" t="n">
        <v>5</v>
      </c>
      <c r="B219" s="1" t="n">
        <f aca="false">SUM(P79:P90)</f>
        <v>82.0602171582867</v>
      </c>
      <c r="C219" s="1" t="n">
        <f aca="false">SUM(Q79:Q90)</f>
        <v>8.20602171582867</v>
      </c>
      <c r="D219" s="1" t="n">
        <f aca="false">SUM(R79:R90)</f>
        <v>4.10301085791434</v>
      </c>
      <c r="E219" s="1" t="n">
        <f aca="false">SUM(S79:S90)</f>
        <v>4.9236130294972</v>
      </c>
      <c r="F219" s="1" t="n">
        <f aca="false">SUM(D79:D90)</f>
        <v>7.637</v>
      </c>
      <c r="G219" s="1" t="n">
        <f aca="false">SUM(E79:E90)</f>
        <v>0.272222222222222</v>
      </c>
      <c r="H219" s="1" t="n">
        <f aca="false">SUM(U79:U90)</f>
        <v>0</v>
      </c>
      <c r="I219" s="1" t="n">
        <f aca="false">SUM(V79:V90)</f>
        <v>56.9183493328243</v>
      </c>
      <c r="J219" s="1" t="n">
        <f aca="false">SUM(W79:W90)</f>
        <v>0</v>
      </c>
      <c r="K219" s="1" t="n">
        <f aca="false">SUM(C79:C90)</f>
        <v>0</v>
      </c>
      <c r="L219" s="1" t="n">
        <f aca="false">SUM(X79:X90)</f>
        <v>56.9183493328243</v>
      </c>
      <c r="M219" s="1" t="n">
        <f aca="false">SUM(Y79:Y90)</f>
        <v>0</v>
      </c>
      <c r="N219" s="1" t="n">
        <f aca="false">SUM(Z79:Z90)</f>
        <v>56.9183493328243</v>
      </c>
      <c r="O219" s="1" t="n">
        <f aca="false">SUM(AA79:AA90)</f>
        <v>0</v>
      </c>
      <c r="P219" s="1" t="n">
        <f aca="false">N219+O219</f>
        <v>56.9183493328243</v>
      </c>
    </row>
    <row r="220" customFormat="false" ht="15" hidden="false" customHeight="true" outlineLevel="0" collapsed="false">
      <c r="A220" s="1" t="n">
        <v>6</v>
      </c>
      <c r="B220" s="1" t="n">
        <f aca="false">SUM(P91:P102)</f>
        <v>74.2325321282141</v>
      </c>
      <c r="C220" s="1" t="n">
        <f aca="false">SUM(Q91:Q102)</f>
        <v>7.42325321282141</v>
      </c>
      <c r="D220" s="1" t="n">
        <f aca="false">SUM(R91:R102)</f>
        <v>3.71162660641071</v>
      </c>
      <c r="E220" s="1" t="n">
        <f aca="false">SUM(S91:S102)</f>
        <v>4.45395192769285</v>
      </c>
      <c r="F220" s="1" t="n">
        <f aca="false">SUM(D91:D102)</f>
        <v>7.637</v>
      </c>
      <c r="G220" s="1" t="n">
        <f aca="false">SUM(E91:E102)</f>
        <v>0</v>
      </c>
      <c r="H220" s="1" t="n">
        <f aca="false">SUM(U91:U102)</f>
        <v>0</v>
      </c>
      <c r="I220" s="1" t="n">
        <f aca="false">SUM(V91:V102)</f>
        <v>51.0067003812892</v>
      </c>
      <c r="J220" s="1" t="n">
        <f aca="false">SUM(W91:W102)</f>
        <v>0</v>
      </c>
      <c r="K220" s="1" t="n">
        <f aca="false">SUM(C91:C102)</f>
        <v>0</v>
      </c>
      <c r="L220" s="1" t="n">
        <f aca="false">SUM(X91:X102)</f>
        <v>51.0067003812892</v>
      </c>
      <c r="M220" s="1" t="n">
        <f aca="false">SUM(Y91:Y102)</f>
        <v>0</v>
      </c>
      <c r="N220" s="1" t="n">
        <f aca="false">SUM(Z91:Z102)</f>
        <v>51.0067003812892</v>
      </c>
      <c r="O220" s="1" t="n">
        <f aca="false">SUM(AA91:AA102)</f>
        <v>0</v>
      </c>
      <c r="P220" s="1" t="n">
        <f aca="false">N220+O220</f>
        <v>51.0067003812892</v>
      </c>
    </row>
    <row r="221" customFormat="false" ht="15" hidden="false" customHeight="true" outlineLevel="0" collapsed="false">
      <c r="A221" s="1" t="n">
        <v>7</v>
      </c>
      <c r="B221" s="1" t="n">
        <f aca="false">SUM(P103:P114)</f>
        <v>67.3133635111557</v>
      </c>
      <c r="C221" s="1" t="n">
        <f aca="false">SUM(Q103:Q114)</f>
        <v>6.73133635111558</v>
      </c>
      <c r="D221" s="1" t="n">
        <f aca="false">SUM(R103:R114)</f>
        <v>3.36566817555779</v>
      </c>
      <c r="E221" s="1" t="n">
        <f aca="false">SUM(S103:S114)</f>
        <v>4.03880181066934</v>
      </c>
      <c r="F221" s="1" t="n">
        <f aca="false">SUM(D103:D114)</f>
        <v>7.637</v>
      </c>
      <c r="G221" s="1" t="n">
        <f aca="false">SUM(E103:E114)</f>
        <v>0</v>
      </c>
      <c r="H221" s="1" t="n">
        <f aca="false">SUM(U103:U114)</f>
        <v>0</v>
      </c>
      <c r="I221" s="1" t="n">
        <f aca="false">SUM(V103:V114)</f>
        <v>45.540557173813</v>
      </c>
      <c r="J221" s="1" t="n">
        <f aca="false">SUM(W103:W114)</f>
        <v>0</v>
      </c>
      <c r="K221" s="1" t="n">
        <f aca="false">SUM(C103:C114)</f>
        <v>0</v>
      </c>
      <c r="L221" s="1" t="n">
        <f aca="false">SUM(X103:X114)</f>
        <v>45.540557173813</v>
      </c>
      <c r="M221" s="1" t="n">
        <f aca="false">SUM(Y103:Y114)</f>
        <v>0</v>
      </c>
      <c r="N221" s="1" t="n">
        <f aca="false">SUM(Z103:Z114)</f>
        <v>45.540557173813</v>
      </c>
      <c r="O221" s="1" t="n">
        <f aca="false">SUM(AA103:AA114)</f>
        <v>0</v>
      </c>
      <c r="P221" s="1" t="n">
        <f aca="false">N221+O221</f>
        <v>45.540557173813</v>
      </c>
    </row>
    <row r="222" customFormat="false" ht="15" hidden="false" customHeight="true" outlineLevel="0" collapsed="false">
      <c r="A222" s="1" t="n">
        <v>8</v>
      </c>
      <c r="B222" s="1" t="n">
        <f aca="false">SUM(P115:P126)</f>
        <v>61.1838725586656</v>
      </c>
      <c r="C222" s="1" t="n">
        <f aca="false">SUM(Q115:Q126)</f>
        <v>6.11838725586656</v>
      </c>
      <c r="D222" s="1" t="n">
        <f aca="false">SUM(R115:R126)</f>
        <v>3.05919362793328</v>
      </c>
      <c r="E222" s="1" t="n">
        <f aca="false">SUM(S115:S126)</f>
        <v>3.67103235351993</v>
      </c>
      <c r="F222" s="1" t="n">
        <f aca="false">SUM(D115:D126)</f>
        <v>7.637</v>
      </c>
      <c r="G222" s="1" t="n">
        <f aca="false">SUM(E115:E126)</f>
        <v>0</v>
      </c>
      <c r="H222" s="1" t="n">
        <f aca="false">SUM(U115:U126)</f>
        <v>0</v>
      </c>
      <c r="I222" s="1" t="n">
        <f aca="false">SUM(V115:V126)</f>
        <v>40.6982593213458</v>
      </c>
      <c r="J222" s="1" t="n">
        <f aca="false">SUM(W115:W126)</f>
        <v>0</v>
      </c>
      <c r="K222" s="1" t="n">
        <f aca="false">SUM(C115:C126)</f>
        <v>0</v>
      </c>
      <c r="L222" s="1" t="n">
        <f aca="false">SUM(X115:X126)</f>
        <v>40.6982593213458</v>
      </c>
      <c r="M222" s="1" t="n">
        <f aca="false">SUM(Y115:Y126)</f>
        <v>0</v>
      </c>
      <c r="N222" s="1" t="n">
        <f aca="false">SUM(Z115:Z126)</f>
        <v>40.6982593213458</v>
      </c>
      <c r="O222" s="1" t="n">
        <f aca="false">SUM(AA115:AA126)</f>
        <v>0</v>
      </c>
      <c r="P222" s="1" t="n">
        <f aca="false">N222+O222</f>
        <v>40.6982593213458</v>
      </c>
    </row>
    <row r="223" customFormat="false" ht="15" hidden="false" customHeight="true" outlineLevel="0" collapsed="false">
      <c r="A223" s="1" t="n">
        <v>9</v>
      </c>
      <c r="B223" s="1" t="n">
        <f aca="false">SUM(P127:P138)</f>
        <v>55.741758709246</v>
      </c>
      <c r="C223" s="1" t="n">
        <f aca="false">SUM(Q127:Q138)</f>
        <v>5.57417587092461</v>
      </c>
      <c r="D223" s="1" t="n">
        <f aca="false">SUM(R127:R138)</f>
        <v>2.7870879354623</v>
      </c>
      <c r="E223" s="1" t="n">
        <f aca="false">SUM(S127:S138)</f>
        <v>3.34450552255476</v>
      </c>
      <c r="F223" s="1" t="n">
        <f aca="false">SUM(D127:D138)</f>
        <v>7.637</v>
      </c>
      <c r="G223" s="1" t="n">
        <f aca="false">SUM(E127:E138)</f>
        <v>0</v>
      </c>
      <c r="H223" s="1" t="n">
        <f aca="false">SUM(U127:U138)</f>
        <v>0</v>
      </c>
      <c r="I223" s="1" t="n">
        <f aca="false">SUM(V127:V138)</f>
        <v>36.3989893803044</v>
      </c>
      <c r="J223" s="1" t="n">
        <f aca="false">SUM(W127:W138)</f>
        <v>0</v>
      </c>
      <c r="K223" s="1" t="n">
        <f aca="false">SUM(C127:C138)</f>
        <v>0</v>
      </c>
      <c r="L223" s="1" t="n">
        <f aca="false">SUM(X127:X138)</f>
        <v>36.3989893803044</v>
      </c>
      <c r="M223" s="1" t="n">
        <f aca="false">SUM(Y127:Y138)</f>
        <v>0</v>
      </c>
      <c r="N223" s="1" t="n">
        <f aca="false">SUM(Z127:Z138)</f>
        <v>36.3989893803044</v>
      </c>
      <c r="O223" s="1" t="n">
        <f aca="false">SUM(AA127:AA138)</f>
        <v>0</v>
      </c>
      <c r="P223" s="1" t="n">
        <f aca="false">N223+O223</f>
        <v>36.3989893803044</v>
      </c>
    </row>
    <row r="224" customFormat="false" ht="15" hidden="false" customHeight="true" outlineLevel="0" collapsed="false">
      <c r="A224" s="1" t="n">
        <v>10</v>
      </c>
      <c r="B224" s="1" t="n">
        <f aca="false">SUM(P139:P150)</f>
        <v>50.8988848105361</v>
      </c>
      <c r="C224" s="1" t="n">
        <f aca="false">SUM(Q139:Q150)</f>
        <v>5.08988848105361</v>
      </c>
      <c r="D224" s="1" t="n">
        <f aca="false">SUM(R139:R150)</f>
        <v>2.54494424052681</v>
      </c>
      <c r="E224" s="1" t="n">
        <f aca="false">SUM(S139:S150)</f>
        <v>3.05393308863217</v>
      </c>
      <c r="F224" s="1" t="n">
        <f aca="false">SUM(D139:D150)</f>
        <v>7.637</v>
      </c>
      <c r="G224" s="1" t="n">
        <f aca="false">SUM(E139:E150)</f>
        <v>0</v>
      </c>
      <c r="H224" s="1" t="n">
        <f aca="false">SUM(U139:U150)</f>
        <v>0</v>
      </c>
      <c r="I224" s="1" t="n">
        <f aca="false">SUM(V139:V150)</f>
        <v>32.5731190003235</v>
      </c>
      <c r="J224" s="1" t="n">
        <f aca="false">SUM(W139:W150)</f>
        <v>0</v>
      </c>
      <c r="K224" s="1" t="n">
        <f aca="false">SUM(C139:C150)</f>
        <v>0</v>
      </c>
      <c r="L224" s="1" t="n">
        <f aca="false">SUM(X139:X150)</f>
        <v>32.5731190003235</v>
      </c>
      <c r="M224" s="1" t="n">
        <f aca="false">SUM(Y139:Y150)</f>
        <v>0</v>
      </c>
      <c r="N224" s="1" t="n">
        <f aca="false">SUM(Z139:Z150)</f>
        <v>32.5731190003235</v>
      </c>
      <c r="O224" s="1" t="n">
        <f aca="false">SUM(AA139:AA150)</f>
        <v>0</v>
      </c>
      <c r="P224" s="1" t="n">
        <f aca="false">N224+O224</f>
        <v>32.5731190003235</v>
      </c>
    </row>
    <row r="225" customFormat="false" ht="15" hidden="false" customHeight="true" outlineLevel="0" collapsed="false">
      <c r="A225" s="1" t="n">
        <v>11</v>
      </c>
      <c r="B225" s="1" t="n">
        <f aca="false">SUM(P151:P162)</f>
        <v>46.579249103763</v>
      </c>
      <c r="C225" s="1" t="n">
        <f aca="false">SUM(Q151:Q162)</f>
        <v>4.6579249103763</v>
      </c>
      <c r="D225" s="1" t="n">
        <f aca="false">SUM(R151:R162)</f>
        <v>2.32896245518815</v>
      </c>
      <c r="E225" s="1" t="n">
        <f aca="false">SUM(S151:S162)</f>
        <v>2.79475494622578</v>
      </c>
      <c r="F225" s="1" t="n">
        <f aca="false">SUM(D151:D162)</f>
        <v>7.637</v>
      </c>
      <c r="G225" s="1" t="n">
        <f aca="false">SUM(E151:E162)</f>
        <v>0</v>
      </c>
      <c r="H225" s="1" t="n">
        <f aca="false">SUM(U151:U162)</f>
        <v>0</v>
      </c>
      <c r="I225" s="1" t="n">
        <f aca="false">SUM(V151:V162)</f>
        <v>29.1606067919728</v>
      </c>
      <c r="J225" s="1" t="n">
        <f aca="false">SUM(W151:W162)</f>
        <v>0</v>
      </c>
      <c r="K225" s="1" t="n">
        <f aca="false">SUM(C151:C162)</f>
        <v>0</v>
      </c>
      <c r="L225" s="1" t="n">
        <f aca="false">SUM(X151:X162)</f>
        <v>29.1606067919728</v>
      </c>
      <c r="M225" s="1" t="n">
        <f aca="false">SUM(Y151:Y162)</f>
        <v>0</v>
      </c>
      <c r="N225" s="1" t="n">
        <f aca="false">SUM(Z151:Z162)</f>
        <v>29.1606067919728</v>
      </c>
      <c r="O225" s="1" t="n">
        <f aca="false">SUM(AA151:AA162)</f>
        <v>0</v>
      </c>
      <c r="P225" s="1" t="n">
        <f aca="false">N225+O225</f>
        <v>29.1606067919728</v>
      </c>
    </row>
    <row r="226" customFormat="false" ht="15" hidden="false" customHeight="true" outlineLevel="0" collapsed="false">
      <c r="A226" s="1" t="n">
        <v>12</v>
      </c>
      <c r="B226" s="1" t="n">
        <f aca="false">SUM(P163:P174)</f>
        <v>42.7172528445282</v>
      </c>
      <c r="C226" s="1" t="n">
        <f aca="false">SUM(Q163:Q174)</f>
        <v>4.27172528445282</v>
      </c>
      <c r="D226" s="1" t="n">
        <f aca="false">SUM(R163:R174)</f>
        <v>2.13586264222641</v>
      </c>
      <c r="E226" s="1" t="n">
        <f aca="false">SUM(S163:S174)</f>
        <v>2.56303517067169</v>
      </c>
      <c r="F226" s="1" t="n">
        <f aca="false">SUM(D163:D174)</f>
        <v>7.637</v>
      </c>
      <c r="G226" s="1" t="n">
        <f aca="false">SUM(E163:E174)</f>
        <v>0</v>
      </c>
      <c r="H226" s="1" t="n">
        <f aca="false">SUM(U163:U174)</f>
        <v>0</v>
      </c>
      <c r="I226" s="1" t="n">
        <f aca="false">SUM(V163:V174)</f>
        <v>26.1096297471772</v>
      </c>
      <c r="J226" s="1" t="n">
        <f aca="false">SUM(W163:W174)</f>
        <v>0</v>
      </c>
      <c r="K226" s="1" t="n">
        <f aca="false">SUM(C163:C174)</f>
        <v>0</v>
      </c>
      <c r="L226" s="1" t="n">
        <f aca="false">SUM(X163:X174)</f>
        <v>26.1096297471772</v>
      </c>
      <c r="M226" s="1" t="n">
        <f aca="false">SUM(Y163:Y174)</f>
        <v>0</v>
      </c>
      <c r="N226" s="1" t="n">
        <f aca="false">SUM(Z163:Z174)</f>
        <v>26.1096297471772</v>
      </c>
      <c r="O226" s="1" t="n">
        <f aca="false">SUM(AA163:AA174)</f>
        <v>0</v>
      </c>
      <c r="P226" s="1" t="n">
        <f aca="false">N226+O226</f>
        <v>26.1096297471772</v>
      </c>
    </row>
    <row r="227" customFormat="false" ht="15" hidden="false" customHeight="true" outlineLevel="0" collapsed="false">
      <c r="A227" s="1" t="n">
        <v>13</v>
      </c>
      <c r="B227" s="1" t="n">
        <f aca="false">SUM(P175:P186)</f>
        <v>39.2562200168985</v>
      </c>
      <c r="C227" s="1" t="n">
        <f aca="false">SUM(Q175:Q186)</f>
        <v>3.92562200168985</v>
      </c>
      <c r="D227" s="1" t="n">
        <f aca="false">SUM(R175:R186)</f>
        <v>1.96281100084492</v>
      </c>
      <c r="E227" s="1" t="n">
        <f aca="false">SUM(S175:S186)</f>
        <v>2.35537320101391</v>
      </c>
      <c r="F227" s="1" t="n">
        <f aca="false">SUM(D175:D186)</f>
        <v>7.637</v>
      </c>
      <c r="G227" s="1" t="n">
        <f aca="false">SUM(E175:E186)</f>
        <v>0</v>
      </c>
      <c r="H227" s="1" t="n">
        <f aca="false">SUM(U175:U186)</f>
        <v>0</v>
      </c>
      <c r="I227" s="1" t="n">
        <f aca="false">SUM(V175:V186)</f>
        <v>23.3754138133498</v>
      </c>
      <c r="J227" s="1" t="n">
        <f aca="false">SUM(W175:W186)</f>
        <v>0</v>
      </c>
      <c r="K227" s="1" t="n">
        <f aca="false">SUM(C175:C186)</f>
        <v>0</v>
      </c>
      <c r="L227" s="1" t="n">
        <f aca="false">SUM(X175:X186)</f>
        <v>23.3754138133498</v>
      </c>
      <c r="M227" s="1" t="n">
        <f aca="false">SUM(Y175:Y186)</f>
        <v>0</v>
      </c>
      <c r="N227" s="1" t="n">
        <f aca="false">SUM(Z175:Z186)</f>
        <v>23.3754138133498</v>
      </c>
      <c r="O227" s="1" t="n">
        <f aca="false">SUM(AA175:AA186)</f>
        <v>0</v>
      </c>
      <c r="P227" s="1" t="n">
        <f aca="false">N227+O227</f>
        <v>23.3754138133498</v>
      </c>
    </row>
    <row r="228" customFormat="false" ht="15" hidden="false" customHeight="true" outlineLevel="0" collapsed="false">
      <c r="A228" s="1" t="n">
        <v>14</v>
      </c>
      <c r="B228" s="1" t="n">
        <f aca="false">SUM(P187:P198)</f>
        <v>36.1471320516936</v>
      </c>
      <c r="C228" s="1" t="n">
        <f aca="false">SUM(Q187:Q198)</f>
        <v>3.61471320516936</v>
      </c>
      <c r="D228" s="1" t="n">
        <f aca="false">SUM(R187:R198)</f>
        <v>1.80735660258468</v>
      </c>
      <c r="E228" s="1" t="n">
        <f aca="false">SUM(S187:S198)</f>
        <v>2.16882792310162</v>
      </c>
      <c r="F228" s="1" t="n">
        <f aca="false">SUM(D187:D198)</f>
        <v>7.637</v>
      </c>
      <c r="G228" s="1" t="n">
        <f aca="false">SUM(E187:E198)</f>
        <v>0</v>
      </c>
      <c r="H228" s="1" t="n">
        <f aca="false">SUM(U187:U198)</f>
        <v>0</v>
      </c>
      <c r="I228" s="1" t="n">
        <f aca="false">SUM(V187:V198)</f>
        <v>20.9192343208379</v>
      </c>
      <c r="J228" s="1" t="n">
        <f aca="false">SUM(W187:W198)</f>
        <v>0</v>
      </c>
      <c r="K228" s="1" t="n">
        <f aca="false">SUM(C187:C198)</f>
        <v>0</v>
      </c>
      <c r="L228" s="1" t="n">
        <f aca="false">SUM(X187:X198)</f>
        <v>20.9192343208379</v>
      </c>
      <c r="M228" s="1" t="n">
        <f aca="false">SUM(Y187:Y198)</f>
        <v>0</v>
      </c>
      <c r="N228" s="1" t="n">
        <f aca="false">SUM(Z187:Z198)</f>
        <v>20.9192343208379</v>
      </c>
      <c r="O228" s="1" t="n">
        <f aca="false">SUM(AA187:AA198)</f>
        <v>0</v>
      </c>
      <c r="P228" s="1" t="n">
        <f aca="false">N228+O228</f>
        <v>20.9192343208379</v>
      </c>
    </row>
    <row r="229" customFormat="false" ht="15" hidden="false" customHeight="true" outlineLevel="0" collapsed="false">
      <c r="A229" s="1" t="n">
        <v>15</v>
      </c>
      <c r="B229" s="1" t="n">
        <f aca="false">SUM(P199:P210)</f>
        <v>33.3475459533125</v>
      </c>
      <c r="C229" s="1" t="n">
        <f aca="false">SUM(Q199:Q210)</f>
        <v>3.33475459533124</v>
      </c>
      <c r="D229" s="1" t="n">
        <f aca="false">SUM(R199:R210)</f>
        <v>1.66737729766562</v>
      </c>
      <c r="E229" s="1" t="n">
        <f aca="false">SUM(S199:S210)</f>
        <v>2.00085275719875</v>
      </c>
      <c r="F229" s="1" t="n">
        <f aca="false">SUM(D199:D210)</f>
        <v>7.637</v>
      </c>
      <c r="G229" s="1" t="n">
        <f aca="false">SUM(E199:E210)</f>
        <v>0</v>
      </c>
      <c r="H229" s="1" t="n">
        <f aca="false">SUM(U199:U210)</f>
        <v>0</v>
      </c>
      <c r="I229" s="1" t="n">
        <f aca="false">SUM(V199:V210)</f>
        <v>18.7075613031168</v>
      </c>
      <c r="J229" s="1" t="n">
        <f aca="false">SUM(W199:W210)</f>
        <v>0</v>
      </c>
      <c r="K229" s="1" t="n">
        <f aca="false">SUM(C199:C210)</f>
        <v>0</v>
      </c>
      <c r="L229" s="1" t="n">
        <f aca="false">SUM(X199:X210)</f>
        <v>18.7075613031168</v>
      </c>
      <c r="M229" s="1" t="n">
        <f aca="false">SUM(Y199:Y210)</f>
        <v>0</v>
      </c>
      <c r="N229" s="1" t="n">
        <f aca="false">SUM(Z199:Z210)</f>
        <v>18.7075613031168</v>
      </c>
      <c r="O229" s="1" t="n">
        <f aca="false">SUM(AA199:AA210)</f>
        <v>0</v>
      </c>
      <c r="P229" s="1" t="n">
        <f aca="false">N229+O229</f>
        <v>18.7075613031168</v>
      </c>
    </row>
    <row r="231" customFormat="false" ht="15" hidden="false" customHeight="true" outlineLevel="0" collapsed="false">
      <c r="A231" s="34" t="s">
        <v>961</v>
      </c>
    </row>
    <row r="232" customFormat="false" ht="36" hidden="false" customHeight="true" outlineLevel="0" collapsed="false">
      <c r="A232" s="90" t="s">
        <v>552</v>
      </c>
      <c r="B232" s="90" t="s">
        <v>962</v>
      </c>
      <c r="C232" s="90" t="s">
        <v>956</v>
      </c>
      <c r="D232" s="90" t="s">
        <v>963</v>
      </c>
      <c r="E232" s="90" t="s">
        <v>964</v>
      </c>
      <c r="F232" s="90" t="s">
        <v>965</v>
      </c>
      <c r="G232" s="90" t="s">
        <v>966</v>
      </c>
      <c r="H232" s="90" t="s">
        <v>967</v>
      </c>
      <c r="I232" s="90" t="s">
        <v>968</v>
      </c>
      <c r="J232" s="90" t="s">
        <v>969</v>
      </c>
      <c r="K232" s="90" t="s">
        <v>970</v>
      </c>
      <c r="L232" s="90" t="s">
        <v>728</v>
      </c>
      <c r="M232" s="90" t="s">
        <v>729</v>
      </c>
      <c r="N232" s="90" t="s">
        <v>507</v>
      </c>
    </row>
    <row r="233" customFormat="false" ht="15" hidden="false" customHeight="true" outlineLevel="0" collapsed="false">
      <c r="A233" s="1" t="n">
        <v>1</v>
      </c>
      <c r="B233" s="1" t="n">
        <f aca="false">P215</f>
        <v>-2.45121496455104</v>
      </c>
      <c r="C233" s="1" t="n">
        <f aca="false">B233</f>
        <v>-2.45121496455104</v>
      </c>
      <c r="D233" s="1" t="n">
        <f aca="false">$B$22</f>
        <v>150</v>
      </c>
      <c r="E233" s="1" t="n">
        <f aca="false">D233*$B$11</f>
        <v>15</v>
      </c>
      <c r="F233" s="1" t="n">
        <f aca="false">MIN(D233, MAX(0, B233))</f>
        <v>0</v>
      </c>
      <c r="G233" s="1" t="n">
        <f aca="false">IF(D233-F233&lt;=0, MIN(E233, MAX(0, B233-F233)), 0)</f>
        <v>0</v>
      </c>
      <c r="H233" s="1" t="n">
        <f aca="false">MAX(0, B233-F233-G233)*$B$12</f>
        <v>0</v>
      </c>
      <c r="I233" s="1" t="n">
        <f aca="false">MAX(0, B233-F233-G233)*(1-$B$12)</f>
        <v>0</v>
      </c>
      <c r="J233" s="1" t="n">
        <f aca="false">F233+G233+H233</f>
        <v>0</v>
      </c>
      <c r="K233" s="1" t="n">
        <f aca="false">I233</f>
        <v>0</v>
      </c>
      <c r="L233" s="1" t="n">
        <f aca="false">J233</f>
        <v>0</v>
      </c>
      <c r="M233" s="1" t="n">
        <f aca="false">K233</f>
        <v>0</v>
      </c>
      <c r="N233" s="1" t="n">
        <f aca="false">L233/$B$22</f>
        <v>0</v>
      </c>
    </row>
    <row r="234" customFormat="false" ht="15" hidden="false" customHeight="true" outlineLevel="0" collapsed="false">
      <c r="A234" s="1" t="n">
        <v>2</v>
      </c>
      <c r="B234" s="1" t="n">
        <f aca="false">P216</f>
        <v>22.395185969667</v>
      </c>
      <c r="C234" s="1" t="n">
        <f aca="false">C233+B234</f>
        <v>19.943971005116</v>
      </c>
      <c r="D234" s="1" t="n">
        <f aca="false">MAX(0, $B$22-SUM(F$233:F233))</f>
        <v>150</v>
      </c>
      <c r="E234" s="1" t="n">
        <f aca="false">D234*$B$11</f>
        <v>15</v>
      </c>
      <c r="F234" s="1" t="n">
        <f aca="false">MIN(D234, MAX(0, B234))</f>
        <v>22.395185969667</v>
      </c>
      <c r="G234" s="1" t="n">
        <f aca="false">IF(D234-F234&lt;=0, MIN(E234+SUM(E$233:E233)-SUM(G$233:G233), MAX(0, B234-F234)), 0)</f>
        <v>0</v>
      </c>
      <c r="H234" s="1" t="n">
        <f aca="false">MAX(0, B234-F234-G234)*$B$12</f>
        <v>0</v>
      </c>
      <c r="I234" s="1" t="n">
        <f aca="false">MAX(0, B234-F234-G234)*(1-$B$12)</f>
        <v>0</v>
      </c>
      <c r="J234" s="1" t="n">
        <f aca="false">F234+G234+H234</f>
        <v>22.395185969667</v>
      </c>
      <c r="K234" s="1" t="n">
        <f aca="false">I234</f>
        <v>0</v>
      </c>
      <c r="L234" s="1" t="n">
        <f aca="false">L233+J234</f>
        <v>22.395185969667</v>
      </c>
      <c r="M234" s="1" t="n">
        <f aca="false">M233+K234</f>
        <v>0</v>
      </c>
      <c r="N234" s="1" t="n">
        <f aca="false">L234/$B$22</f>
        <v>0.14930123979778</v>
      </c>
    </row>
    <row r="235" customFormat="false" ht="15" hidden="false" customHeight="true" outlineLevel="0" collapsed="false">
      <c r="A235" s="1" t="n">
        <v>3</v>
      </c>
      <c r="B235" s="1" t="n">
        <f aca="false">P217</f>
        <v>45.3814335004896</v>
      </c>
      <c r="C235" s="1" t="n">
        <f aca="false">C234+B235</f>
        <v>65.3254045056056</v>
      </c>
      <c r="D235" s="1" t="n">
        <f aca="false">MAX(0, $B$22-SUM(F$233:F234))</f>
        <v>127.604814030333</v>
      </c>
      <c r="E235" s="1" t="n">
        <f aca="false">D235*$B$11</f>
        <v>12.7604814030333</v>
      </c>
      <c r="F235" s="1" t="n">
        <f aca="false">MIN(D235, MAX(0, B235))</f>
        <v>45.3814335004896</v>
      </c>
      <c r="G235" s="1" t="n">
        <f aca="false">IF(D235-F235&lt;=0, MIN(E235+SUM(E$233:E234)-SUM(G$233:G234), MAX(0, B235-F235)), 0)</f>
        <v>0</v>
      </c>
      <c r="H235" s="1" t="n">
        <f aca="false">MAX(0, B235-F235-G235)*$B$12</f>
        <v>0</v>
      </c>
      <c r="I235" s="1" t="n">
        <f aca="false">MAX(0, B235-F235-G235)*(1-$B$12)</f>
        <v>0</v>
      </c>
      <c r="J235" s="1" t="n">
        <f aca="false">F235+G235+H235</f>
        <v>45.3814335004896</v>
      </c>
      <c r="K235" s="1" t="n">
        <f aca="false">I235</f>
        <v>0</v>
      </c>
      <c r="L235" s="1" t="n">
        <f aca="false">L234+J235</f>
        <v>67.7766194701566</v>
      </c>
      <c r="M235" s="1" t="n">
        <f aca="false">M234+K235</f>
        <v>0</v>
      </c>
      <c r="N235" s="1" t="n">
        <f aca="false">L235/$B$22</f>
        <v>0.451844129801044</v>
      </c>
    </row>
    <row r="236" customFormat="false" ht="15" hidden="false" customHeight="true" outlineLevel="0" collapsed="false">
      <c r="A236" s="1" t="n">
        <v>4</v>
      </c>
      <c r="B236" s="1" t="n">
        <f aca="false">P218</f>
        <v>62.217982585769</v>
      </c>
      <c r="C236" s="1" t="n">
        <f aca="false">C235+B236</f>
        <v>127.543387091375</v>
      </c>
      <c r="D236" s="1" t="n">
        <f aca="false">MAX(0, $B$22-SUM(F$233:F235))</f>
        <v>82.2233805298434</v>
      </c>
      <c r="E236" s="1" t="n">
        <f aca="false">D236*$B$11</f>
        <v>8.22233805298434</v>
      </c>
      <c r="F236" s="1" t="n">
        <f aca="false">MIN(D236, MAX(0, B236))</f>
        <v>62.217982585769</v>
      </c>
      <c r="G236" s="1" t="n">
        <f aca="false">IF(D236-F236&lt;=0, MIN(E236+SUM(E$233:E235)-SUM(G$233:G235), MAX(0, B236-F236)), 0)</f>
        <v>0</v>
      </c>
      <c r="H236" s="1" t="n">
        <f aca="false">MAX(0, B236-F236-G236)*$B$12</f>
        <v>0</v>
      </c>
      <c r="I236" s="1" t="n">
        <f aca="false">MAX(0, B236-F236-G236)*(1-$B$12)</f>
        <v>0</v>
      </c>
      <c r="J236" s="1" t="n">
        <f aca="false">F236+G236+H236</f>
        <v>62.217982585769</v>
      </c>
      <c r="K236" s="1" t="n">
        <f aca="false">I236</f>
        <v>0</v>
      </c>
      <c r="L236" s="1" t="n">
        <f aca="false">L235+J236</f>
        <v>129.994602055926</v>
      </c>
      <c r="M236" s="1" t="n">
        <f aca="false">M235+K236</f>
        <v>0</v>
      </c>
      <c r="N236" s="1" t="n">
        <f aca="false">L236/$B$22</f>
        <v>0.866630680372838</v>
      </c>
    </row>
    <row r="237" customFormat="false" ht="15" hidden="false" customHeight="true" outlineLevel="0" collapsed="false">
      <c r="A237" s="1" t="n">
        <v>5</v>
      </c>
      <c r="B237" s="1" t="n">
        <f aca="false">P219</f>
        <v>56.9183493328243</v>
      </c>
      <c r="C237" s="1" t="n">
        <f aca="false">C236+B237</f>
        <v>184.461736424199</v>
      </c>
      <c r="D237" s="1" t="n">
        <f aca="false">MAX(0, $B$22-SUM(F$233:F236))</f>
        <v>20.0053979440744</v>
      </c>
      <c r="E237" s="1" t="n">
        <f aca="false">D237*$B$11</f>
        <v>2.00053979440744</v>
      </c>
      <c r="F237" s="1" t="n">
        <f aca="false">MIN(D237, MAX(0, B237))</f>
        <v>20.0053979440744</v>
      </c>
      <c r="G237" s="1" t="n">
        <f aca="false">IF(D237-F237&lt;=0, MIN(E237+SUM(E$233:E236)-SUM(G$233:G236), MAX(0, B237-F237)), 0)</f>
        <v>36.9129513887499</v>
      </c>
      <c r="H237" s="1" t="n">
        <f aca="false">MAX(0, B237-F237-G237)*$B$12</f>
        <v>0</v>
      </c>
      <c r="I237" s="1" t="n">
        <f aca="false">MAX(0, B237-F237-G237)*(1-$B$12)</f>
        <v>0</v>
      </c>
      <c r="J237" s="1" t="n">
        <f aca="false">F237+G237+H237</f>
        <v>56.9183493328243</v>
      </c>
      <c r="K237" s="1" t="n">
        <f aca="false">I237</f>
        <v>0</v>
      </c>
      <c r="L237" s="1" t="n">
        <f aca="false">L236+J237</f>
        <v>186.91295138875</v>
      </c>
      <c r="M237" s="1" t="n">
        <f aca="false">M236+K237</f>
        <v>0</v>
      </c>
      <c r="N237" s="1" t="n">
        <f aca="false">L237/$B$22</f>
        <v>1.24608634259167</v>
      </c>
    </row>
    <row r="238" customFormat="false" ht="15" hidden="false" customHeight="true" outlineLevel="0" collapsed="false">
      <c r="A238" s="1" t="n">
        <v>6</v>
      </c>
      <c r="B238" s="1" t="n">
        <f aca="false">P220</f>
        <v>51.0067003812892</v>
      </c>
      <c r="C238" s="1" t="n">
        <f aca="false">C237+B238</f>
        <v>235.468436805488</v>
      </c>
      <c r="D238" s="1" t="n">
        <f aca="false">MAX(0, $B$22-SUM(F$233:F237))</f>
        <v>0</v>
      </c>
      <c r="E238" s="1" t="n">
        <f aca="false">D238*$B$11</f>
        <v>0</v>
      </c>
      <c r="F238" s="1" t="n">
        <f aca="false">MIN(D238, MAX(0, B238))</f>
        <v>0</v>
      </c>
      <c r="G238" s="1" t="n">
        <f aca="false">IF(D238-F238&lt;=0, MIN(E238+SUM(E$233:E237)-SUM(G$233:G237), MAX(0, B238-F238)), 0)</f>
        <v>16.0704078616752</v>
      </c>
      <c r="H238" s="1" t="n">
        <f aca="false">MAX(0, B238-F238-G238)*$B$12</f>
        <v>27.9490340156912</v>
      </c>
      <c r="I238" s="1" t="n">
        <f aca="false">MAX(0, B238-F238-G238)*(1-$B$12)</f>
        <v>6.9872585039228</v>
      </c>
      <c r="J238" s="1" t="n">
        <f aca="false">F238+G238+H238</f>
        <v>44.0194418773664</v>
      </c>
      <c r="K238" s="1" t="n">
        <f aca="false">I238</f>
        <v>6.9872585039228</v>
      </c>
      <c r="L238" s="1" t="n">
        <f aca="false">L237+J238</f>
        <v>230.932393266116</v>
      </c>
      <c r="M238" s="1" t="n">
        <f aca="false">M237+K238</f>
        <v>6.9872585039228</v>
      </c>
      <c r="N238" s="1" t="n">
        <f aca="false">L238/$B$22</f>
        <v>1.53954928844078</v>
      </c>
    </row>
    <row r="239" customFormat="false" ht="15" hidden="false" customHeight="true" outlineLevel="0" collapsed="false">
      <c r="A239" s="1" t="n">
        <v>7</v>
      </c>
      <c r="B239" s="1" t="n">
        <f aca="false">P221</f>
        <v>45.540557173813</v>
      </c>
      <c r="C239" s="1" t="n">
        <f aca="false">C238+B239</f>
        <v>281.008993979301</v>
      </c>
      <c r="D239" s="1" t="n">
        <f aca="false">MAX(0, $B$22-SUM(F$233:F238))</f>
        <v>0</v>
      </c>
      <c r="E239" s="1" t="n">
        <f aca="false">D239*$B$11</f>
        <v>0</v>
      </c>
      <c r="F239" s="1" t="n">
        <f aca="false">MIN(D239, MAX(0, B239))</f>
        <v>0</v>
      </c>
      <c r="G239" s="1" t="n">
        <f aca="false">IF(D239-F239&lt;=0, MIN(E239+SUM(E$233:E238)-SUM(G$233:G238), MAX(0, B239-F239)), 0)</f>
        <v>0</v>
      </c>
      <c r="H239" s="1" t="n">
        <f aca="false">MAX(0, B239-F239-G239)*$B$12</f>
        <v>36.4324457390504</v>
      </c>
      <c r="I239" s="1" t="n">
        <f aca="false">MAX(0, B239-F239-G239)*(1-$B$12)</f>
        <v>9.10811143476261</v>
      </c>
      <c r="J239" s="1" t="n">
        <f aca="false">F239+G239+H239</f>
        <v>36.4324457390504</v>
      </c>
      <c r="K239" s="1" t="n">
        <f aca="false">I239</f>
        <v>9.10811143476261</v>
      </c>
      <c r="L239" s="1" t="n">
        <f aca="false">L238+J239</f>
        <v>267.364839005167</v>
      </c>
      <c r="M239" s="1" t="n">
        <f aca="false">M238+K239</f>
        <v>16.0953699386854</v>
      </c>
      <c r="N239" s="1" t="n">
        <f aca="false">L239/$B$22</f>
        <v>1.78243226003444</v>
      </c>
    </row>
    <row r="240" customFormat="false" ht="15" hidden="false" customHeight="true" outlineLevel="0" collapsed="false">
      <c r="A240" s="1" t="n">
        <v>8</v>
      </c>
      <c r="B240" s="1" t="n">
        <f aca="false">P222</f>
        <v>40.6982593213458</v>
      </c>
      <c r="C240" s="1" t="n">
        <f aca="false">C239+B240</f>
        <v>321.707253300647</v>
      </c>
      <c r="D240" s="1" t="n">
        <f aca="false">MAX(0, $B$22-SUM(F$233:F239))</f>
        <v>0</v>
      </c>
      <c r="E240" s="1" t="n">
        <f aca="false">D240*$B$11</f>
        <v>0</v>
      </c>
      <c r="F240" s="1" t="n">
        <f aca="false">MIN(D240, MAX(0, B240))</f>
        <v>0</v>
      </c>
      <c r="G240" s="1" t="n">
        <f aca="false">IF(D240-F240&lt;=0, MIN(E240+SUM(E$233:E239)-SUM(G$233:G239), MAX(0, B240-F240)), 0)</f>
        <v>0</v>
      </c>
      <c r="H240" s="1" t="n">
        <f aca="false">MAX(0, B240-F240-G240)*$B$12</f>
        <v>32.5586074570766</v>
      </c>
      <c r="I240" s="1" t="n">
        <f aca="false">MAX(0, B240-F240-G240)*(1-$B$12)</f>
        <v>8.13965186426916</v>
      </c>
      <c r="J240" s="1" t="n">
        <f aca="false">F240+G240+H240</f>
        <v>32.5586074570766</v>
      </c>
      <c r="K240" s="1" t="n">
        <f aca="false">I240</f>
        <v>8.13965186426916</v>
      </c>
      <c r="L240" s="1" t="n">
        <f aca="false">L239+J240</f>
        <v>299.923446462243</v>
      </c>
      <c r="M240" s="1" t="n">
        <f aca="false">M239+K240</f>
        <v>24.2350218029546</v>
      </c>
      <c r="N240" s="1" t="n">
        <f aca="false">L240/$B$22</f>
        <v>1.99948964308162</v>
      </c>
    </row>
    <row r="241" customFormat="false" ht="15" hidden="false" customHeight="true" outlineLevel="0" collapsed="false">
      <c r="A241" s="1" t="n">
        <v>9</v>
      </c>
      <c r="B241" s="1" t="n">
        <f aca="false">P223</f>
        <v>36.3989893803044</v>
      </c>
      <c r="C241" s="1" t="n">
        <f aca="false">C240+B241</f>
        <v>358.106242680951</v>
      </c>
      <c r="D241" s="1" t="n">
        <f aca="false">MAX(0, $B$22-SUM(F$233:F240))</f>
        <v>0</v>
      </c>
      <c r="E241" s="1" t="n">
        <f aca="false">D241*$B$11</f>
        <v>0</v>
      </c>
      <c r="F241" s="1" t="n">
        <f aca="false">MIN(D241, MAX(0, B241))</f>
        <v>0</v>
      </c>
      <c r="G241" s="1" t="n">
        <f aca="false">IF(D241-F241&lt;=0, MIN(E241+SUM(E$233:E240)-SUM(G$233:G240), MAX(0, B241-F241)), 0)</f>
        <v>0</v>
      </c>
      <c r="H241" s="1" t="n">
        <f aca="false">MAX(0, B241-F241-G241)*$B$12</f>
        <v>29.1191915042435</v>
      </c>
      <c r="I241" s="1" t="n">
        <f aca="false">MAX(0, B241-F241-G241)*(1-$B$12)</f>
        <v>7.27979787606087</v>
      </c>
      <c r="J241" s="1" t="n">
        <f aca="false">F241+G241+H241</f>
        <v>29.1191915042435</v>
      </c>
      <c r="K241" s="1" t="n">
        <f aca="false">I241</f>
        <v>7.27979787606087</v>
      </c>
      <c r="L241" s="1" t="n">
        <f aca="false">L240+J241</f>
        <v>329.042637966487</v>
      </c>
      <c r="M241" s="1" t="n">
        <f aca="false">M240+K241</f>
        <v>31.5148196790154</v>
      </c>
      <c r="N241" s="1" t="n">
        <f aca="false">L241/$B$22</f>
        <v>2.19361758644325</v>
      </c>
    </row>
    <row r="242" customFormat="false" ht="15" hidden="false" customHeight="true" outlineLevel="0" collapsed="false">
      <c r="A242" s="1" t="n">
        <v>10</v>
      </c>
      <c r="B242" s="1" t="n">
        <f aca="false">P224</f>
        <v>32.5731190003235</v>
      </c>
      <c r="C242" s="1" t="n">
        <f aca="false">C241+B242</f>
        <v>390.679361681275</v>
      </c>
      <c r="D242" s="1" t="n">
        <f aca="false">MAX(0, $B$22-SUM(F$233:F241))</f>
        <v>0</v>
      </c>
      <c r="E242" s="1" t="n">
        <f aca="false">D242*$B$11</f>
        <v>0</v>
      </c>
      <c r="F242" s="1" t="n">
        <f aca="false">MIN(D242, MAX(0, B242))</f>
        <v>0</v>
      </c>
      <c r="G242" s="1" t="n">
        <f aca="false">IF(D242-F242&lt;=0, MIN(E242+SUM(E$233:E241)-SUM(G$233:G241), MAX(0, B242-F242)), 0)</f>
        <v>0</v>
      </c>
      <c r="H242" s="1" t="n">
        <f aca="false">MAX(0, B242-F242-G242)*$B$12</f>
        <v>26.0584952002588</v>
      </c>
      <c r="I242" s="1" t="n">
        <f aca="false">MAX(0, B242-F242-G242)*(1-$B$12)</f>
        <v>6.51462380006471</v>
      </c>
      <c r="J242" s="1" t="n">
        <f aca="false">F242+G242+H242</f>
        <v>26.0584952002588</v>
      </c>
      <c r="K242" s="1" t="n">
        <f aca="false">I242</f>
        <v>6.51462380006471</v>
      </c>
      <c r="L242" s="1" t="n">
        <f aca="false">L241+J242</f>
        <v>355.101133166746</v>
      </c>
      <c r="M242" s="1" t="n">
        <f aca="false">M241+K242</f>
        <v>38.0294434790801</v>
      </c>
      <c r="N242" s="1" t="n">
        <f aca="false">L242/$B$22</f>
        <v>2.3673408877783</v>
      </c>
    </row>
    <row r="243" customFormat="false" ht="15" hidden="false" customHeight="true" outlineLevel="0" collapsed="false">
      <c r="A243" s="1" t="n">
        <v>11</v>
      </c>
      <c r="B243" s="1" t="n">
        <f aca="false">P225</f>
        <v>29.1606067919728</v>
      </c>
      <c r="C243" s="1" t="n">
        <f aca="false">C242+B243</f>
        <v>419.839968473248</v>
      </c>
      <c r="D243" s="1" t="n">
        <f aca="false">MAX(0, $B$22-SUM(F$233:F242))</f>
        <v>0</v>
      </c>
      <c r="E243" s="1" t="n">
        <f aca="false">D243*$B$11</f>
        <v>0</v>
      </c>
      <c r="F243" s="1" t="n">
        <f aca="false">MIN(D243, MAX(0, B243))</f>
        <v>0</v>
      </c>
      <c r="G243" s="1" t="n">
        <f aca="false">IF(D243-F243&lt;=0, MIN(E243+SUM(E$233:E242)-SUM(G$233:G242), MAX(0, B243-F243)), 0)</f>
        <v>0</v>
      </c>
      <c r="H243" s="1" t="n">
        <f aca="false">MAX(0, B243-F243-G243)*$B$12</f>
        <v>23.3284854335782</v>
      </c>
      <c r="I243" s="1" t="n">
        <f aca="false">MAX(0, B243-F243-G243)*(1-$B$12)</f>
        <v>5.83212135839455</v>
      </c>
      <c r="J243" s="1" t="n">
        <f aca="false">F243+G243+H243</f>
        <v>23.3284854335782</v>
      </c>
      <c r="K243" s="1" t="n">
        <f aca="false">I243</f>
        <v>5.83212135839455</v>
      </c>
      <c r="L243" s="1" t="n">
        <f aca="false">L242+J243</f>
        <v>378.429618600324</v>
      </c>
      <c r="M243" s="1" t="n">
        <f aca="false">M242+K243</f>
        <v>43.8615648374747</v>
      </c>
      <c r="N243" s="1" t="n">
        <f aca="false">L243/$B$22</f>
        <v>2.52286412400216</v>
      </c>
    </row>
    <row r="244" customFormat="false" ht="15" hidden="false" customHeight="true" outlineLevel="0" collapsed="false">
      <c r="A244" s="1" t="n">
        <v>12</v>
      </c>
      <c r="B244" s="1" t="n">
        <f aca="false">P226</f>
        <v>26.1096297471772</v>
      </c>
      <c r="C244" s="1" t="n">
        <f aca="false">C243+B244</f>
        <v>445.949598220425</v>
      </c>
      <c r="D244" s="1" t="n">
        <f aca="false">MAX(0, $B$22-SUM(F$233:F243))</f>
        <v>0</v>
      </c>
      <c r="E244" s="1" t="n">
        <f aca="false">D244*$B$11</f>
        <v>0</v>
      </c>
      <c r="F244" s="1" t="n">
        <f aca="false">MIN(D244, MAX(0, B244))</f>
        <v>0</v>
      </c>
      <c r="G244" s="1" t="n">
        <f aca="false">IF(D244-F244&lt;=0, MIN(E244+SUM(E$233:E243)-SUM(G$233:G243), MAX(0, B244-F244)), 0)</f>
        <v>0</v>
      </c>
      <c r="H244" s="1" t="n">
        <f aca="false">MAX(0, B244-F244-G244)*$B$12</f>
        <v>20.8877037977418</v>
      </c>
      <c r="I244" s="1" t="n">
        <f aca="false">MAX(0, B244-F244-G244)*(1-$B$12)</f>
        <v>5.22192594943545</v>
      </c>
      <c r="J244" s="1" t="n">
        <f aca="false">F244+G244+H244</f>
        <v>20.8877037977418</v>
      </c>
      <c r="K244" s="1" t="n">
        <f aca="false">I244</f>
        <v>5.22192594943545</v>
      </c>
      <c r="L244" s="1" t="n">
        <f aca="false">L243+J244</f>
        <v>399.317322398066</v>
      </c>
      <c r="M244" s="1" t="n">
        <f aca="false">M243+K244</f>
        <v>49.0834907869101</v>
      </c>
      <c r="N244" s="1" t="n">
        <f aca="false">L244/$B$22</f>
        <v>2.66211548265377</v>
      </c>
    </row>
    <row r="245" customFormat="false" ht="15" hidden="false" customHeight="true" outlineLevel="0" collapsed="false">
      <c r="A245" s="1" t="n">
        <v>13</v>
      </c>
      <c r="B245" s="1" t="n">
        <f aca="false">P227</f>
        <v>23.3754138133498</v>
      </c>
      <c r="C245" s="1" t="n">
        <f aca="false">C244+B245</f>
        <v>469.325012033775</v>
      </c>
      <c r="D245" s="1" t="n">
        <f aca="false">MAX(0, $B$22-SUM(F$233:F244))</f>
        <v>0</v>
      </c>
      <c r="E245" s="1" t="n">
        <f aca="false">D245*$B$11</f>
        <v>0</v>
      </c>
      <c r="F245" s="1" t="n">
        <f aca="false">MIN(D245, MAX(0, B245))</f>
        <v>0</v>
      </c>
      <c r="G245" s="1" t="n">
        <f aca="false">IF(D245-F245&lt;=0, MIN(E245+SUM(E$233:E244)-SUM(G$233:G244), MAX(0, B245-F245)), 0)</f>
        <v>0</v>
      </c>
      <c r="H245" s="1" t="n">
        <f aca="false">MAX(0, B245-F245-G245)*$B$12</f>
        <v>18.7003310506798</v>
      </c>
      <c r="I245" s="1" t="n">
        <f aca="false">MAX(0, B245-F245-G245)*(1-$B$12)</f>
        <v>4.67508276266996</v>
      </c>
      <c r="J245" s="1" t="n">
        <f aca="false">F245+G245+H245</f>
        <v>18.7003310506798</v>
      </c>
      <c r="K245" s="1" t="n">
        <f aca="false">I245</f>
        <v>4.67508276266996</v>
      </c>
      <c r="L245" s="1" t="n">
        <f aca="false">L244+J245</f>
        <v>418.017653448745</v>
      </c>
      <c r="M245" s="1" t="n">
        <f aca="false">M244+K245</f>
        <v>53.7585735495801</v>
      </c>
      <c r="N245" s="1" t="n">
        <f aca="false">L245/$B$22</f>
        <v>2.78678435632497</v>
      </c>
    </row>
    <row r="246" customFormat="false" ht="15" hidden="false" customHeight="true" outlineLevel="0" collapsed="false">
      <c r="A246" s="1" t="n">
        <v>14</v>
      </c>
      <c r="B246" s="1" t="n">
        <f aca="false">P228</f>
        <v>20.9192343208379</v>
      </c>
      <c r="C246" s="1" t="n">
        <f aca="false">C245+B246</f>
        <v>490.244246354613</v>
      </c>
      <c r="D246" s="1" t="n">
        <f aca="false">MAX(0, $B$22-SUM(F$233:F245))</f>
        <v>0</v>
      </c>
      <c r="E246" s="1" t="n">
        <f aca="false">D246*$B$11</f>
        <v>0</v>
      </c>
      <c r="F246" s="1" t="n">
        <f aca="false">MIN(D246, MAX(0, B246))</f>
        <v>0</v>
      </c>
      <c r="G246" s="1" t="n">
        <f aca="false">IF(D246-F246&lt;=0, MIN(E246+SUM(E$233:E245)-SUM(G$233:G245), MAX(0, B246-F246)), 0)</f>
        <v>0</v>
      </c>
      <c r="H246" s="1" t="n">
        <f aca="false">MAX(0, B246-F246-G246)*$B$12</f>
        <v>16.7353874566704</v>
      </c>
      <c r="I246" s="1" t="n">
        <f aca="false">MAX(0, B246-F246-G246)*(1-$B$12)</f>
        <v>4.18384686416759</v>
      </c>
      <c r="J246" s="1" t="n">
        <f aca="false">F246+G246+H246</f>
        <v>16.7353874566704</v>
      </c>
      <c r="K246" s="1" t="n">
        <f aca="false">I246</f>
        <v>4.18384686416759</v>
      </c>
      <c r="L246" s="1" t="n">
        <f aca="false">L245+J246</f>
        <v>434.753040905416</v>
      </c>
      <c r="M246" s="1" t="n">
        <f aca="false">M245+K246</f>
        <v>57.9424204137477</v>
      </c>
      <c r="N246" s="1" t="n">
        <f aca="false">L246/$B$22</f>
        <v>2.89835360603611</v>
      </c>
    </row>
    <row r="247" customFormat="false" ht="15" hidden="false" customHeight="true" outlineLevel="0" collapsed="false">
      <c r="A247" s="1" t="n">
        <v>15</v>
      </c>
      <c r="B247" s="1" t="n">
        <f aca="false">P229</f>
        <v>18.7075613031168</v>
      </c>
      <c r="C247" s="1" t="n">
        <f aca="false">C246+B247</f>
        <v>508.951807657729</v>
      </c>
      <c r="D247" s="1" t="n">
        <f aca="false">MAX(0, $B$22-SUM(F$233:F246))</f>
        <v>0</v>
      </c>
      <c r="E247" s="1" t="n">
        <f aca="false">D247*$B$11</f>
        <v>0</v>
      </c>
      <c r="F247" s="1" t="n">
        <f aca="false">MIN(D247, MAX(0, B247))</f>
        <v>0</v>
      </c>
      <c r="G247" s="1" t="n">
        <f aca="false">IF(D247-F247&lt;=0, MIN(E247+SUM(E$233:E246)-SUM(G$233:G246), MAX(0, B247-F247)), 0)</f>
        <v>0</v>
      </c>
      <c r="H247" s="1" t="n">
        <f aca="false">MAX(0, B247-F247-G247)*$B$12</f>
        <v>14.9660490424935</v>
      </c>
      <c r="I247" s="1" t="n">
        <f aca="false">MAX(0, B247-F247-G247)*(1-$B$12)</f>
        <v>3.74151226062337</v>
      </c>
      <c r="J247" s="1" t="n">
        <f aca="false">F247+G247+H247</f>
        <v>14.9660490424935</v>
      </c>
      <c r="K247" s="1" t="n">
        <f aca="false">I247</f>
        <v>3.74151226062337</v>
      </c>
      <c r="L247" s="1" t="n">
        <f aca="false">L246+J247</f>
        <v>449.719089947909</v>
      </c>
      <c r="M247" s="1" t="n">
        <f aca="false">M246+K247</f>
        <v>61.683932674371</v>
      </c>
      <c r="N247" s="1" t="n">
        <f aca="false">L247/$B$22</f>
        <v>2.9981272663194</v>
      </c>
    </row>
    <row r="249" customFormat="false" ht="15" hidden="false" customHeight="true" outlineLevel="0" collapsed="false">
      <c r="A249" s="34" t="s">
        <v>971</v>
      </c>
    </row>
    <row r="250" customFormat="false" ht="15" hidden="false" customHeight="true" outlineLevel="0" collapsed="false">
      <c r="A250" s="1" t="s">
        <v>798</v>
      </c>
      <c r="B250" s="1" t="n">
        <f aca="false">L247</f>
        <v>449.719089947909</v>
      </c>
    </row>
    <row r="251" customFormat="false" ht="15" hidden="false" customHeight="true" outlineLevel="0" collapsed="false">
      <c r="A251" s="1" t="s">
        <v>799</v>
      </c>
      <c r="B251" s="1" t="n">
        <f aca="false">M247</f>
        <v>61.683932674371</v>
      </c>
    </row>
    <row r="252" customFormat="false" ht="15" hidden="false" customHeight="true" outlineLevel="0" collapsed="false">
      <c r="A252" s="1" t="s">
        <v>972</v>
      </c>
      <c r="B252" s="1" t="n">
        <f aca="false">L247/$B$22</f>
        <v>2.9981272663194</v>
      </c>
    </row>
    <row r="253" customFormat="false" ht="15" hidden="false" customHeight="true" outlineLevel="0" collapsed="false">
      <c r="A253" s="1" t="s">
        <v>973</v>
      </c>
      <c r="B253" s="1" t="n">
        <f aca="false">L242</f>
        <v>355.101133166746</v>
      </c>
    </row>
    <row r="254" customFormat="false" ht="15" hidden="false" customHeight="true" outlineLevel="0" collapsed="false">
      <c r="A254" s="1" t="s">
        <v>974</v>
      </c>
      <c r="B254" s="1" t="n">
        <f aca="false">L242/$B$22</f>
        <v>2.3673408877783</v>
      </c>
    </row>
    <row r="255" customFormat="false" ht="15" hidden="false" customHeight="true" outlineLevel="0" collapsed="false">
      <c r="A255" s="1" t="s">
        <v>975</v>
      </c>
      <c r="B255" s="1" t="n">
        <f aca="false">SUM(H215:H229)</f>
        <v>0</v>
      </c>
    </row>
    <row r="256" customFormat="false" ht="15" hidden="false" customHeight="true" outlineLevel="0" collapsed="false">
      <c r="A256" s="1" t="s">
        <v>976</v>
      </c>
      <c r="B256" s="1" t="n">
        <f aca="false">SUM(F215:F229)</f>
        <v>110.3347938</v>
      </c>
    </row>
    <row r="259" customFormat="false" ht="15" hidden="false" customHeight="true" outlineLevel="0" collapsed="false">
      <c r="A259" s="1" t="s">
        <v>977</v>
      </c>
      <c r="B259" s="1" t="s">
        <v>978</v>
      </c>
    </row>
    <row r="260" customFormat="false" ht="15" hidden="false" customHeight="true" outlineLevel="0" collapsed="false">
      <c r="A260" s="1" t="n">
        <v>0</v>
      </c>
      <c r="B260" s="1" t="n">
        <f aca="false">-$B$22</f>
        <v>-150</v>
      </c>
    </row>
    <row r="261" customFormat="false" ht="15" hidden="false" customHeight="true" outlineLevel="0" collapsed="false">
      <c r="A261" s="1" t="n">
        <v>1</v>
      </c>
      <c r="B261" s="1" t="n">
        <f aca="false">J233</f>
        <v>0</v>
      </c>
    </row>
    <row r="262" customFormat="false" ht="15" hidden="false" customHeight="true" outlineLevel="0" collapsed="false">
      <c r="A262" s="1" t="n">
        <v>2</v>
      </c>
      <c r="B262" s="1" t="n">
        <f aca="false">J234</f>
        <v>22.395185969667</v>
      </c>
    </row>
    <row r="263" customFormat="false" ht="15" hidden="false" customHeight="true" outlineLevel="0" collapsed="false">
      <c r="A263" s="1" t="n">
        <v>3</v>
      </c>
      <c r="B263" s="1" t="n">
        <f aca="false">J235</f>
        <v>45.3814335004896</v>
      </c>
    </row>
    <row r="264" customFormat="false" ht="15" hidden="false" customHeight="true" outlineLevel="0" collapsed="false">
      <c r="A264" s="1" t="n">
        <v>4</v>
      </c>
      <c r="B264" s="1" t="n">
        <f aca="false">J236</f>
        <v>62.217982585769</v>
      </c>
    </row>
    <row r="265" customFormat="false" ht="15" hidden="false" customHeight="true" outlineLevel="0" collapsed="false">
      <c r="A265" s="1" t="n">
        <v>5</v>
      </c>
      <c r="B265" s="1" t="n">
        <f aca="false">J237</f>
        <v>56.9183493328243</v>
      </c>
    </row>
    <row r="266" customFormat="false" ht="15" hidden="false" customHeight="true" outlineLevel="0" collapsed="false">
      <c r="A266" s="1" t="n">
        <v>6</v>
      </c>
      <c r="B266" s="1" t="n">
        <f aca="false">J238</f>
        <v>44.0194418773664</v>
      </c>
    </row>
    <row r="267" customFormat="false" ht="15" hidden="false" customHeight="true" outlineLevel="0" collapsed="false">
      <c r="A267" s="1" t="n">
        <v>7</v>
      </c>
      <c r="B267" s="1" t="n">
        <f aca="false">J239</f>
        <v>36.4324457390504</v>
      </c>
    </row>
    <row r="268" customFormat="false" ht="15" hidden="false" customHeight="true" outlineLevel="0" collapsed="false">
      <c r="A268" s="1" t="n">
        <v>8</v>
      </c>
      <c r="B268" s="1" t="n">
        <f aca="false">J240</f>
        <v>32.5586074570766</v>
      </c>
    </row>
    <row r="269" customFormat="false" ht="15" hidden="false" customHeight="true" outlineLevel="0" collapsed="false">
      <c r="A269" s="1" t="n">
        <v>9</v>
      </c>
      <c r="B269" s="1" t="n">
        <f aca="false">J241</f>
        <v>29.1191915042435</v>
      </c>
    </row>
    <row r="270" customFormat="false" ht="15" hidden="false" customHeight="true" outlineLevel="0" collapsed="false">
      <c r="A270" s="1" t="n">
        <v>10</v>
      </c>
      <c r="B270" s="1" t="n">
        <f aca="false">J242</f>
        <v>26.0584952002588</v>
      </c>
    </row>
    <row r="271" customFormat="false" ht="15" hidden="false" customHeight="true" outlineLevel="0" collapsed="false">
      <c r="A271" s="1" t="n">
        <v>11</v>
      </c>
      <c r="B271" s="1" t="n">
        <f aca="false">J243</f>
        <v>23.3284854335782</v>
      </c>
    </row>
    <row r="272" customFormat="false" ht="15" hidden="false" customHeight="true" outlineLevel="0" collapsed="false">
      <c r="A272" s="1" t="n">
        <v>12</v>
      </c>
      <c r="B272" s="1" t="n">
        <f aca="false">J244</f>
        <v>20.8877037977418</v>
      </c>
    </row>
    <row r="273" customFormat="false" ht="15" hidden="false" customHeight="true" outlineLevel="0" collapsed="false">
      <c r="A273" s="1" t="n">
        <v>13</v>
      </c>
      <c r="B273" s="1" t="n">
        <f aca="false">J245</f>
        <v>18.7003310506798</v>
      </c>
    </row>
    <row r="274" customFormat="false" ht="15" hidden="false" customHeight="true" outlineLevel="0" collapsed="false">
      <c r="A274" s="1" t="n">
        <v>14</v>
      </c>
      <c r="B274" s="1" t="n">
        <f aca="false">J246</f>
        <v>16.7353874566704</v>
      </c>
    </row>
    <row r="275" customFormat="false" ht="15" hidden="false" customHeight="true" outlineLevel="0" collapsed="false">
      <c r="A275" s="1" t="n">
        <v>15</v>
      </c>
      <c r="B275" s="1" t="n">
        <f aca="false">J247</f>
        <v>14.9660490424935</v>
      </c>
    </row>
    <row r="276" customFormat="false" ht="15" hidden="false" customHeight="true" outlineLevel="0" collapsed="false">
      <c r="A276" s="1" t="s">
        <v>797</v>
      </c>
      <c r="B276" s="279" t="n">
        <f aca="false">IRR(B260:B275)</f>
        <v>0.194725922850455</v>
      </c>
    </row>
    <row r="277" customFormat="false" ht="15" hidden="false" customHeight="true" outlineLevel="0" collapsed="false">
      <c r="A277" s="1" t="s">
        <v>979</v>
      </c>
      <c r="B277" s="279" t="n">
        <f aca="false">IRR(B260:B270)</f>
        <v>0.177771763690128</v>
      </c>
    </row>
    <row r="290" customFormat="false" ht="15" hidden="false" customHeight="true" outlineLevel="0" collapsed="false">
      <c r="A290" s="34" t="s">
        <v>980</v>
      </c>
    </row>
    <row r="291" customFormat="false" ht="36" hidden="false" customHeight="true" outlineLevel="0" collapsed="false">
      <c r="A291" s="90" t="s">
        <v>552</v>
      </c>
      <c r="B291" s="90" t="s">
        <v>962</v>
      </c>
      <c r="C291" s="90" t="s">
        <v>963</v>
      </c>
      <c r="D291" s="90" t="s">
        <v>964</v>
      </c>
      <c r="E291" s="90" t="s">
        <v>965</v>
      </c>
      <c r="F291" s="90" t="s">
        <v>966</v>
      </c>
      <c r="G291" s="90" t="s">
        <v>981</v>
      </c>
      <c r="H291" s="90" t="s">
        <v>982</v>
      </c>
      <c r="I291" s="90" t="s">
        <v>983</v>
      </c>
      <c r="J291" s="90" t="s">
        <v>984</v>
      </c>
      <c r="K291" s="90" t="s">
        <v>985</v>
      </c>
      <c r="L291" s="90" t="s">
        <v>967</v>
      </c>
      <c r="M291" s="90" t="s">
        <v>542</v>
      </c>
      <c r="N291" s="90" t="s">
        <v>969</v>
      </c>
      <c r="O291" s="90" t="s">
        <v>970</v>
      </c>
      <c r="P291" s="90" t="s">
        <v>728</v>
      </c>
      <c r="Q291" s="90" t="s">
        <v>729</v>
      </c>
      <c r="R291" s="90" t="s">
        <v>507</v>
      </c>
    </row>
    <row r="292" customFormat="false" ht="15" hidden="false" customHeight="true" outlineLevel="0" collapsed="false">
      <c r="A292" s="1" t="n">
        <v>1</v>
      </c>
      <c r="B292" s="1" t="n">
        <f aca="false">P215</f>
        <v>-2.45121496455104</v>
      </c>
      <c r="C292" s="1" t="n">
        <f aca="false">$B$22</f>
        <v>150</v>
      </c>
      <c r="D292" s="1" t="n">
        <f aca="false">C292*$B$11</f>
        <v>15</v>
      </c>
      <c r="E292" s="1" t="n">
        <f aca="false">MIN(C292, MAX(0, B292))</f>
        <v>0</v>
      </c>
      <c r="F292" s="1" t="n">
        <f aca="false">IF(C292-E292&lt;=0, MIN(D292, MAX(0, B292-E292)), 0)</f>
        <v>0</v>
      </c>
      <c r="G292" s="1" t="n">
        <f aca="false">MAX(0, B292-E292-F292)</f>
        <v>0</v>
      </c>
      <c r="H292" s="1" t="n">
        <v>0</v>
      </c>
      <c r="I292" s="1" t="n">
        <f aca="false">IF(H292&lt;2*$B$22, MIN(G292, (2*$B$22-H292)/'1. Press Assumptions'!$B$40), 0)</f>
        <v>0</v>
      </c>
      <c r="J292" s="1" t="n">
        <f aca="false">IF(H292+I292*'1. Press Assumptions'!$B$40&lt;3*$B$22, MIN(MAX(0, G292-I292), (3*$B$22-(H292+I292*'1. Press Assumptions'!$B$40))/'1. Press Assumptions'!$B$41), 0)</f>
        <v>0</v>
      </c>
      <c r="K292" s="1" t="n">
        <f aca="false">MAX(0, G292-I292-J292)</f>
        <v>0</v>
      </c>
      <c r="L292" s="1" t="n">
        <f aca="false">I292*'1. Press Assumptions'!$B$40+J292*'1. Press Assumptions'!$B$41+K292*'1. Press Assumptions'!$B$42</f>
        <v>0</v>
      </c>
      <c r="M292" s="1" t="n">
        <f aca="false">I292*(1-'1. Press Assumptions'!$B$40)+J292*(1-'1. Press Assumptions'!$B$41)+K292*(1-'1. Press Assumptions'!$B$42)</f>
        <v>0</v>
      </c>
      <c r="N292" s="1" t="n">
        <f aca="false">E292+F292+L292</f>
        <v>0</v>
      </c>
      <c r="O292" s="1" t="n">
        <f aca="false">M292</f>
        <v>0</v>
      </c>
      <c r="P292" s="1" t="n">
        <f aca="false">N292</f>
        <v>0</v>
      </c>
      <c r="Q292" s="1" t="n">
        <f aca="false">O292</f>
        <v>0</v>
      </c>
      <c r="R292" s="1" t="n">
        <f aca="false">P292/$B$22</f>
        <v>0</v>
      </c>
    </row>
    <row r="293" customFormat="false" ht="15" hidden="false" customHeight="true" outlineLevel="0" collapsed="false">
      <c r="A293" s="1" t="n">
        <v>2</v>
      </c>
      <c r="B293" s="1" t="n">
        <f aca="false">P216</f>
        <v>22.395185969667</v>
      </c>
      <c r="C293" s="1" t="n">
        <f aca="false">MAX(0, $B$22-SUM(E$292:E292))</f>
        <v>150</v>
      </c>
      <c r="D293" s="1" t="n">
        <f aca="false">C293*$B$11</f>
        <v>15</v>
      </c>
      <c r="E293" s="1" t="n">
        <f aca="false">MIN(C293, MAX(0, B293))</f>
        <v>22.395185969667</v>
      </c>
      <c r="F293" s="1" t="n">
        <f aca="false">IF(C293-E293&lt;=0, MIN(D293+SUM(D$292:D292)-SUM(F$292:F292), MAX(0, B293-E293)), 0)</f>
        <v>0</v>
      </c>
      <c r="G293" s="1" t="n">
        <f aca="false">MAX(0, B293-E293-F293)</f>
        <v>0</v>
      </c>
      <c r="H293" s="1" t="n">
        <f aca="false">P292</f>
        <v>0</v>
      </c>
      <c r="I293" s="1" t="n">
        <f aca="false">IF(H293&lt;2*$B$22, MIN(G293, (2*$B$22-H293)/'1. Press Assumptions'!$B$40), 0)</f>
        <v>0</v>
      </c>
      <c r="J293" s="1" t="n">
        <f aca="false">IF(H293+I293*'1. Press Assumptions'!$B$40&lt;3*$B$22, MIN(MAX(0, G293-I293), (3*$B$22-(H293+I293*'1. Press Assumptions'!$B$40))/'1. Press Assumptions'!$B$41), 0)</f>
        <v>0</v>
      </c>
      <c r="K293" s="1" t="n">
        <f aca="false">MAX(0, G293-I293-J293)</f>
        <v>0</v>
      </c>
      <c r="L293" s="1" t="n">
        <f aca="false">I293*'1. Press Assumptions'!$B$40+J293*'1. Press Assumptions'!$B$41+K293*'1. Press Assumptions'!$B$42</f>
        <v>0</v>
      </c>
      <c r="M293" s="1" t="n">
        <f aca="false">I293*(1-'1. Press Assumptions'!$B$40)+J293*(1-'1. Press Assumptions'!$B$41)+K293*(1-'1. Press Assumptions'!$B$42)</f>
        <v>0</v>
      </c>
      <c r="N293" s="1" t="n">
        <f aca="false">E293+F293+L293</f>
        <v>22.395185969667</v>
      </c>
      <c r="O293" s="1" t="n">
        <f aca="false">M293</f>
        <v>0</v>
      </c>
      <c r="P293" s="1" t="n">
        <f aca="false">P292+N293</f>
        <v>22.395185969667</v>
      </c>
      <c r="Q293" s="1" t="n">
        <f aca="false">Q292+O293</f>
        <v>0</v>
      </c>
      <c r="R293" s="1" t="n">
        <f aca="false">P293/$B$22</f>
        <v>0.14930123979778</v>
      </c>
    </row>
    <row r="294" customFormat="false" ht="15" hidden="false" customHeight="true" outlineLevel="0" collapsed="false">
      <c r="A294" s="1" t="n">
        <v>3</v>
      </c>
      <c r="B294" s="1" t="n">
        <f aca="false">P217</f>
        <v>45.3814335004896</v>
      </c>
      <c r="C294" s="1" t="n">
        <f aca="false">MAX(0, $B$22-SUM(E$292:E293))</f>
        <v>127.604814030333</v>
      </c>
      <c r="D294" s="1" t="n">
        <f aca="false">C294*$B$11</f>
        <v>12.7604814030333</v>
      </c>
      <c r="E294" s="1" t="n">
        <f aca="false">MIN(C294, MAX(0, B294))</f>
        <v>45.3814335004896</v>
      </c>
      <c r="F294" s="1" t="n">
        <f aca="false">IF(C294-E294&lt;=0, MIN(D294+SUM(D$292:D293)-SUM(F$292:F293), MAX(0, B294-E294)), 0)</f>
        <v>0</v>
      </c>
      <c r="G294" s="1" t="n">
        <f aca="false">MAX(0, B294-E294-F294)</f>
        <v>0</v>
      </c>
      <c r="H294" s="1" t="n">
        <f aca="false">P293</f>
        <v>22.395185969667</v>
      </c>
      <c r="I294" s="1" t="n">
        <f aca="false">IF(H294&lt;2*$B$22, MIN(G294, (2*$B$22-H294)/'1. Press Assumptions'!$B$40), 0)</f>
        <v>0</v>
      </c>
      <c r="J294" s="1" t="n">
        <f aca="false">IF(H294+I294*'1. Press Assumptions'!$B$40&lt;3*$B$22, MIN(MAX(0, G294-I294), (3*$B$22-(H294+I294*'1. Press Assumptions'!$B$40))/'1. Press Assumptions'!$B$41), 0)</f>
        <v>0</v>
      </c>
      <c r="K294" s="1" t="n">
        <f aca="false">MAX(0, G294-I294-J294)</f>
        <v>0</v>
      </c>
      <c r="L294" s="1" t="n">
        <f aca="false">I294*'1. Press Assumptions'!$B$40+J294*'1. Press Assumptions'!$B$41+K294*'1. Press Assumptions'!$B$42</f>
        <v>0</v>
      </c>
      <c r="M294" s="1" t="n">
        <f aca="false">I294*(1-'1. Press Assumptions'!$B$40)+J294*(1-'1. Press Assumptions'!$B$41)+K294*(1-'1. Press Assumptions'!$B$42)</f>
        <v>0</v>
      </c>
      <c r="N294" s="1" t="n">
        <f aca="false">E294+F294+L294</f>
        <v>45.3814335004896</v>
      </c>
      <c r="O294" s="1" t="n">
        <f aca="false">M294</f>
        <v>0</v>
      </c>
      <c r="P294" s="1" t="n">
        <f aca="false">P293+N294</f>
        <v>67.7766194701566</v>
      </c>
      <c r="Q294" s="1" t="n">
        <f aca="false">Q293+O294</f>
        <v>0</v>
      </c>
      <c r="R294" s="1" t="n">
        <f aca="false">P294/$B$22</f>
        <v>0.451844129801044</v>
      </c>
    </row>
    <row r="295" customFormat="false" ht="15" hidden="false" customHeight="true" outlineLevel="0" collapsed="false">
      <c r="A295" s="1" t="n">
        <v>4</v>
      </c>
      <c r="B295" s="1" t="n">
        <f aca="false">P218</f>
        <v>62.217982585769</v>
      </c>
      <c r="C295" s="1" t="n">
        <f aca="false">MAX(0, $B$22-SUM(E$292:E294))</f>
        <v>82.2233805298434</v>
      </c>
      <c r="D295" s="1" t="n">
        <f aca="false">C295*$B$11</f>
        <v>8.22233805298434</v>
      </c>
      <c r="E295" s="1" t="n">
        <f aca="false">MIN(C295, MAX(0, B295))</f>
        <v>62.217982585769</v>
      </c>
      <c r="F295" s="1" t="n">
        <f aca="false">IF(C295-E295&lt;=0, MIN(D295+SUM(D$292:D294)-SUM(F$292:F294), MAX(0, B295-E295)), 0)</f>
        <v>0</v>
      </c>
      <c r="G295" s="1" t="n">
        <f aca="false">MAX(0, B295-E295-F295)</f>
        <v>0</v>
      </c>
      <c r="H295" s="1" t="n">
        <f aca="false">P294</f>
        <v>67.7766194701566</v>
      </c>
      <c r="I295" s="1" t="n">
        <f aca="false">IF(H295&lt;2*$B$22, MIN(G295, (2*$B$22-H295)/'1. Press Assumptions'!$B$40), 0)</f>
        <v>0</v>
      </c>
      <c r="J295" s="1" t="n">
        <f aca="false">IF(H295+I295*'1. Press Assumptions'!$B$40&lt;3*$B$22, MIN(MAX(0, G295-I295), (3*$B$22-(H295+I295*'1. Press Assumptions'!$B$40))/'1. Press Assumptions'!$B$41), 0)</f>
        <v>0</v>
      </c>
      <c r="K295" s="1" t="n">
        <f aca="false">MAX(0, G295-I295-J295)</f>
        <v>0</v>
      </c>
      <c r="L295" s="1" t="n">
        <f aca="false">I295*'1. Press Assumptions'!$B$40+J295*'1. Press Assumptions'!$B$41+K295*'1. Press Assumptions'!$B$42</f>
        <v>0</v>
      </c>
      <c r="M295" s="1" t="n">
        <f aca="false">I295*(1-'1. Press Assumptions'!$B$40)+J295*(1-'1. Press Assumptions'!$B$41)+K295*(1-'1. Press Assumptions'!$B$42)</f>
        <v>0</v>
      </c>
      <c r="N295" s="1" t="n">
        <f aca="false">E295+F295+L295</f>
        <v>62.217982585769</v>
      </c>
      <c r="O295" s="1" t="n">
        <f aca="false">M295</f>
        <v>0</v>
      </c>
      <c r="P295" s="1" t="n">
        <f aca="false">P294+N295</f>
        <v>129.994602055926</v>
      </c>
      <c r="Q295" s="1" t="n">
        <f aca="false">Q294+O295</f>
        <v>0</v>
      </c>
      <c r="R295" s="1" t="n">
        <f aca="false">P295/$B$22</f>
        <v>0.866630680372838</v>
      </c>
    </row>
    <row r="296" customFormat="false" ht="15" hidden="false" customHeight="true" outlineLevel="0" collapsed="false">
      <c r="A296" s="1" t="n">
        <v>5</v>
      </c>
      <c r="B296" s="1" t="n">
        <f aca="false">P219</f>
        <v>56.9183493328243</v>
      </c>
      <c r="C296" s="1" t="n">
        <f aca="false">MAX(0, $B$22-SUM(E$292:E295))</f>
        <v>20.0053979440744</v>
      </c>
      <c r="D296" s="1" t="n">
        <f aca="false">C296*$B$11</f>
        <v>2.00053979440744</v>
      </c>
      <c r="E296" s="1" t="n">
        <f aca="false">MIN(C296, MAX(0, B296))</f>
        <v>20.0053979440744</v>
      </c>
      <c r="F296" s="1" t="n">
        <f aca="false">IF(C296-E296&lt;=0, MIN(D296+SUM(D$292:D295)-SUM(F$292:F295), MAX(0, B296-E296)), 0)</f>
        <v>36.9129513887499</v>
      </c>
      <c r="G296" s="1" t="n">
        <f aca="false">MAX(0, B296-E296-F296)</f>
        <v>0</v>
      </c>
      <c r="H296" s="1" t="n">
        <f aca="false">P295</f>
        <v>129.994602055926</v>
      </c>
      <c r="I296" s="1" t="n">
        <f aca="false">IF(H296&lt;2*$B$22, MIN(G296, (2*$B$22-H296)/'1. Press Assumptions'!$B$40), 0)</f>
        <v>0</v>
      </c>
      <c r="J296" s="1" t="n">
        <f aca="false">IF(H296+I296*'1. Press Assumptions'!$B$40&lt;3*$B$22, MIN(MAX(0, G296-I296), (3*$B$22-(H296+I296*'1. Press Assumptions'!$B$40))/'1. Press Assumptions'!$B$41), 0)</f>
        <v>0</v>
      </c>
      <c r="K296" s="1" t="n">
        <f aca="false">MAX(0, G296-I296-J296)</f>
        <v>0</v>
      </c>
      <c r="L296" s="1" t="n">
        <f aca="false">I296*'1. Press Assumptions'!$B$40+J296*'1. Press Assumptions'!$B$41+K296*'1. Press Assumptions'!$B$42</f>
        <v>0</v>
      </c>
      <c r="M296" s="1" t="n">
        <f aca="false">I296*(1-'1. Press Assumptions'!$B$40)+J296*(1-'1. Press Assumptions'!$B$41)+K296*(1-'1. Press Assumptions'!$B$42)</f>
        <v>0</v>
      </c>
      <c r="N296" s="1" t="n">
        <f aca="false">E296+F296+L296</f>
        <v>56.9183493328243</v>
      </c>
      <c r="O296" s="1" t="n">
        <f aca="false">M296</f>
        <v>0</v>
      </c>
      <c r="P296" s="1" t="n">
        <f aca="false">P295+N296</f>
        <v>186.91295138875</v>
      </c>
      <c r="Q296" s="1" t="n">
        <f aca="false">Q295+O296</f>
        <v>0</v>
      </c>
      <c r="R296" s="1" t="n">
        <f aca="false">P296/$B$22</f>
        <v>1.24608634259167</v>
      </c>
    </row>
    <row r="297" customFormat="false" ht="15" hidden="false" customHeight="true" outlineLevel="0" collapsed="false">
      <c r="A297" s="1" t="n">
        <v>6</v>
      </c>
      <c r="B297" s="1" t="n">
        <f aca="false">P220</f>
        <v>51.0067003812892</v>
      </c>
      <c r="C297" s="1" t="n">
        <f aca="false">MAX(0, $B$22-SUM(E$292:E296))</f>
        <v>0</v>
      </c>
      <c r="D297" s="1" t="n">
        <f aca="false">C297*$B$11</f>
        <v>0</v>
      </c>
      <c r="E297" s="1" t="n">
        <f aca="false">MIN(C297, MAX(0, B297))</f>
        <v>0</v>
      </c>
      <c r="F297" s="1" t="n">
        <f aca="false">IF(C297-E297&lt;=0, MIN(D297+SUM(D$292:D296)-SUM(F$292:F296), MAX(0, B297-E297)), 0)</f>
        <v>16.0704078616752</v>
      </c>
      <c r="G297" s="1" t="n">
        <f aca="false">MAX(0, B297-E297-F297)</f>
        <v>34.936292519614</v>
      </c>
      <c r="H297" s="1" t="n">
        <f aca="false">P296</f>
        <v>186.91295138875</v>
      </c>
      <c r="I297" s="1" t="n">
        <f aca="false">IF(H297&lt;2*$B$22, MIN(G297, (2*$B$22-H297)/'1. Press Assumptions'!$B$40), 0)</f>
        <v>34.936292519614</v>
      </c>
      <c r="J297" s="1" t="n">
        <f aca="false">IF(H297+I297*'1. Press Assumptions'!$B$40&lt;3*$B$22, MIN(MAX(0, G297-I297), (3*$B$22-(H297+I297*'1. Press Assumptions'!$B$40))/'1. Press Assumptions'!$B$41), 0)</f>
        <v>0</v>
      </c>
      <c r="K297" s="1" t="n">
        <f aca="false">MAX(0, G297-I297-J297)</f>
        <v>0</v>
      </c>
      <c r="L297" s="1" t="n">
        <f aca="false">I297*'1. Press Assumptions'!$B$40+J297*'1. Press Assumptions'!$B$41+K297*'1. Press Assumptions'!$B$42</f>
        <v>27.9490340156912</v>
      </c>
      <c r="M297" s="1" t="n">
        <f aca="false">I297*(1-'1. Press Assumptions'!$B$40)+J297*(1-'1. Press Assumptions'!$B$41)+K297*(1-'1. Press Assumptions'!$B$42)</f>
        <v>6.9872585039228</v>
      </c>
      <c r="N297" s="1" t="n">
        <f aca="false">E297+F297+L297</f>
        <v>44.0194418773664</v>
      </c>
      <c r="O297" s="1" t="n">
        <f aca="false">M297</f>
        <v>6.9872585039228</v>
      </c>
      <c r="P297" s="1" t="n">
        <f aca="false">P296+N297</f>
        <v>230.932393266116</v>
      </c>
      <c r="Q297" s="1" t="n">
        <f aca="false">Q296+O297</f>
        <v>6.9872585039228</v>
      </c>
      <c r="R297" s="1" t="n">
        <f aca="false">P297/$B$22</f>
        <v>1.53954928844078</v>
      </c>
    </row>
    <row r="298" customFormat="false" ht="15" hidden="false" customHeight="true" outlineLevel="0" collapsed="false">
      <c r="A298" s="1" t="n">
        <v>7</v>
      </c>
      <c r="B298" s="1" t="n">
        <f aca="false">P221</f>
        <v>45.540557173813</v>
      </c>
      <c r="C298" s="1" t="n">
        <f aca="false">MAX(0, $B$22-SUM(E$292:E297))</f>
        <v>0</v>
      </c>
      <c r="D298" s="1" t="n">
        <f aca="false">C298*$B$11</f>
        <v>0</v>
      </c>
      <c r="E298" s="1" t="n">
        <f aca="false">MIN(C298, MAX(0, B298))</f>
        <v>0</v>
      </c>
      <c r="F298" s="1" t="n">
        <f aca="false">IF(C298-E298&lt;=0, MIN(D298+SUM(D$292:D297)-SUM(F$292:F297), MAX(0, B298-E298)), 0)</f>
        <v>0</v>
      </c>
      <c r="G298" s="1" t="n">
        <f aca="false">MAX(0, B298-E298-F298)</f>
        <v>45.540557173813</v>
      </c>
      <c r="H298" s="1" t="n">
        <f aca="false">P297</f>
        <v>230.932393266116</v>
      </c>
      <c r="I298" s="1" t="n">
        <f aca="false">IF(H298&lt;2*$B$22, MIN(G298, (2*$B$22-H298)/'1. Press Assumptions'!$B$40), 0)</f>
        <v>45.540557173813</v>
      </c>
      <c r="J298" s="1" t="n">
        <f aca="false">IF(H298+I298*'1. Press Assumptions'!$B$40&lt;3*$B$22, MIN(MAX(0, G298-I298), (3*$B$22-(H298+I298*'1. Press Assumptions'!$B$40))/'1. Press Assumptions'!$B$41), 0)</f>
        <v>0</v>
      </c>
      <c r="K298" s="1" t="n">
        <f aca="false">MAX(0, G298-I298-J298)</f>
        <v>0</v>
      </c>
      <c r="L298" s="1" t="n">
        <f aca="false">I298*'1. Press Assumptions'!$B$40+J298*'1. Press Assumptions'!$B$41+K298*'1. Press Assumptions'!$B$42</f>
        <v>36.4324457390504</v>
      </c>
      <c r="M298" s="1" t="n">
        <f aca="false">I298*(1-'1. Press Assumptions'!$B$40)+J298*(1-'1. Press Assumptions'!$B$41)+K298*(1-'1. Press Assumptions'!$B$42)</f>
        <v>9.10811143476261</v>
      </c>
      <c r="N298" s="1" t="n">
        <f aca="false">E298+F298+L298</f>
        <v>36.4324457390504</v>
      </c>
      <c r="O298" s="1" t="n">
        <f aca="false">M298</f>
        <v>9.10811143476261</v>
      </c>
      <c r="P298" s="1" t="n">
        <f aca="false">P297+N298</f>
        <v>267.364839005167</v>
      </c>
      <c r="Q298" s="1" t="n">
        <f aca="false">Q297+O298</f>
        <v>16.0953699386854</v>
      </c>
      <c r="R298" s="1" t="n">
        <f aca="false">P298/$B$22</f>
        <v>1.78243226003444</v>
      </c>
    </row>
    <row r="299" customFormat="false" ht="15" hidden="false" customHeight="true" outlineLevel="0" collapsed="false">
      <c r="A299" s="1" t="n">
        <v>8</v>
      </c>
      <c r="B299" s="1" t="n">
        <f aca="false">P222</f>
        <v>40.6982593213458</v>
      </c>
      <c r="C299" s="1" t="n">
        <f aca="false">MAX(0, $B$22-SUM(E$292:E298))</f>
        <v>0</v>
      </c>
      <c r="D299" s="1" t="n">
        <f aca="false">C299*$B$11</f>
        <v>0</v>
      </c>
      <c r="E299" s="1" t="n">
        <f aca="false">MIN(C299, MAX(0, B299))</f>
        <v>0</v>
      </c>
      <c r="F299" s="1" t="n">
        <f aca="false">IF(C299-E299&lt;=0, MIN(D299+SUM(D$292:D298)-SUM(F$292:F298), MAX(0, B299-E299)), 0)</f>
        <v>0</v>
      </c>
      <c r="G299" s="1" t="n">
        <f aca="false">MAX(0, B299-E299-F299)</f>
        <v>40.6982593213458</v>
      </c>
      <c r="H299" s="1" t="n">
        <f aca="false">P298</f>
        <v>267.364839005167</v>
      </c>
      <c r="I299" s="1" t="n">
        <f aca="false">IF(H299&lt;2*$B$22, MIN(G299, (2*$B$22-H299)/'1. Press Assumptions'!$B$40), 0)</f>
        <v>40.6982593213458</v>
      </c>
      <c r="J299" s="1" t="n">
        <f aca="false">IF(H299+I299*'1. Press Assumptions'!$B$40&lt;3*$B$22, MIN(MAX(0, G299-I299), (3*$B$22-(H299+I299*'1. Press Assumptions'!$B$40))/'1. Press Assumptions'!$B$41), 0)</f>
        <v>0</v>
      </c>
      <c r="K299" s="1" t="n">
        <f aca="false">MAX(0, G299-I299-J299)</f>
        <v>0</v>
      </c>
      <c r="L299" s="1" t="n">
        <f aca="false">I299*'1. Press Assumptions'!$B$40+J299*'1. Press Assumptions'!$B$41+K299*'1. Press Assumptions'!$B$42</f>
        <v>32.5586074570766</v>
      </c>
      <c r="M299" s="1" t="n">
        <f aca="false">I299*(1-'1. Press Assumptions'!$B$40)+J299*(1-'1. Press Assumptions'!$B$41)+K299*(1-'1. Press Assumptions'!$B$42)</f>
        <v>8.13965186426916</v>
      </c>
      <c r="N299" s="1" t="n">
        <f aca="false">E299+F299+L299</f>
        <v>32.5586074570766</v>
      </c>
      <c r="O299" s="1" t="n">
        <f aca="false">M299</f>
        <v>8.13965186426916</v>
      </c>
      <c r="P299" s="1" t="n">
        <f aca="false">P298+N299</f>
        <v>299.923446462243</v>
      </c>
      <c r="Q299" s="1" t="n">
        <f aca="false">Q298+O299</f>
        <v>24.2350218029546</v>
      </c>
      <c r="R299" s="1" t="n">
        <f aca="false">P299/$B$22</f>
        <v>1.99948964308162</v>
      </c>
    </row>
    <row r="300" customFormat="false" ht="15" hidden="false" customHeight="true" outlineLevel="0" collapsed="false">
      <c r="A300" s="1" t="n">
        <v>9</v>
      </c>
      <c r="B300" s="1" t="n">
        <f aca="false">P223</f>
        <v>36.3989893803044</v>
      </c>
      <c r="C300" s="1" t="n">
        <f aca="false">MAX(0, $B$22-SUM(E$292:E299))</f>
        <v>0</v>
      </c>
      <c r="D300" s="1" t="n">
        <f aca="false">C300*$B$11</f>
        <v>0</v>
      </c>
      <c r="E300" s="1" t="n">
        <f aca="false">MIN(C300, MAX(0, B300))</f>
        <v>0</v>
      </c>
      <c r="F300" s="1" t="n">
        <f aca="false">IF(C300-E300&lt;=0, MIN(D300+SUM(D$292:D299)-SUM(F$292:F299), MAX(0, B300-E300)), 0)</f>
        <v>0</v>
      </c>
      <c r="G300" s="1" t="n">
        <f aca="false">MAX(0, B300-E300-F300)</f>
        <v>36.3989893803044</v>
      </c>
      <c r="H300" s="1" t="n">
        <f aca="false">P299</f>
        <v>299.923446462243</v>
      </c>
      <c r="I300" s="1" t="n">
        <f aca="false">IF(H300&lt;2*$B$22, MIN(G300, (2*$B$22-H300)/'1. Press Assumptions'!$B$40), 0)</f>
        <v>0.0956919221958685</v>
      </c>
      <c r="J300" s="1" t="n">
        <f aca="false">IF(H300+I300*'1. Press Assumptions'!$B$40&lt;3*$B$22, MIN(MAX(0, G300-I300), (3*$B$22-(H300+I300*'1. Press Assumptions'!$B$40))/'1. Press Assumptions'!$B$41), 0)</f>
        <v>36.3032974581085</v>
      </c>
      <c r="K300" s="1" t="n">
        <f aca="false">MAX(0, G300-I300-J300)</f>
        <v>0</v>
      </c>
      <c r="L300" s="1" t="n">
        <f aca="false">I300*'1. Press Assumptions'!$B$40+J300*'1. Press Assumptions'!$B$41+K300*'1. Press Assumptions'!$B$42</f>
        <v>29.1191915042435</v>
      </c>
      <c r="M300" s="1" t="n">
        <f aca="false">I300*(1-'1. Press Assumptions'!$B$40)+J300*(1-'1. Press Assumptions'!$B$41)+K300*(1-'1. Press Assumptions'!$B$42)</f>
        <v>7.27979787606087</v>
      </c>
      <c r="N300" s="1" t="n">
        <f aca="false">E300+F300+L300</f>
        <v>29.1191915042435</v>
      </c>
      <c r="O300" s="1" t="n">
        <f aca="false">M300</f>
        <v>7.27979787606087</v>
      </c>
      <c r="P300" s="1" t="n">
        <f aca="false">P299+N300</f>
        <v>329.042637966487</v>
      </c>
      <c r="Q300" s="1" t="n">
        <f aca="false">Q299+O300</f>
        <v>31.5148196790154</v>
      </c>
      <c r="R300" s="1" t="n">
        <f aca="false">P300/$B$22</f>
        <v>2.19361758644325</v>
      </c>
    </row>
    <row r="301" customFormat="false" ht="15" hidden="false" customHeight="true" outlineLevel="0" collapsed="false">
      <c r="A301" s="1" t="n">
        <v>10</v>
      </c>
      <c r="B301" s="1" t="n">
        <f aca="false">P224</f>
        <v>32.5731190003235</v>
      </c>
      <c r="C301" s="1" t="n">
        <f aca="false">MAX(0, $B$22-SUM(E$292:E300))</f>
        <v>0</v>
      </c>
      <c r="D301" s="1" t="n">
        <f aca="false">C301*$B$11</f>
        <v>0</v>
      </c>
      <c r="E301" s="1" t="n">
        <f aca="false">MIN(C301, MAX(0, B301))</f>
        <v>0</v>
      </c>
      <c r="F301" s="1" t="n">
        <f aca="false">IF(C301-E301&lt;=0, MIN(D301+SUM(D$292:D300)-SUM(F$292:F300), MAX(0, B301-E301)), 0)</f>
        <v>0</v>
      </c>
      <c r="G301" s="1" t="n">
        <f aca="false">MAX(0, B301-E301-F301)</f>
        <v>32.5731190003235</v>
      </c>
      <c r="H301" s="1" t="n">
        <f aca="false">P300</f>
        <v>329.042637966487</v>
      </c>
      <c r="I301" s="1" t="n">
        <f aca="false">IF(H301&lt;2*$B$22, MIN(G301, (2*$B$22-H301)/'1. Press Assumptions'!$B$40), 0)</f>
        <v>0</v>
      </c>
      <c r="J301" s="1" t="n">
        <f aca="false">IF(H301+I301*'1. Press Assumptions'!$B$40&lt;3*$B$22, MIN(MAX(0, G301-I301), (3*$B$22-(H301+I301*'1. Press Assumptions'!$B$40))/'1. Press Assumptions'!$B$41), 0)</f>
        <v>32.5731190003235</v>
      </c>
      <c r="K301" s="1" t="n">
        <f aca="false">MAX(0, G301-I301-J301)</f>
        <v>0</v>
      </c>
      <c r="L301" s="1" t="n">
        <f aca="false">I301*'1. Press Assumptions'!$B$40+J301*'1. Press Assumptions'!$B$41+K301*'1. Press Assumptions'!$B$42</f>
        <v>26.0584952002588</v>
      </c>
      <c r="M301" s="1" t="n">
        <f aca="false">I301*(1-'1. Press Assumptions'!$B$40)+J301*(1-'1. Press Assumptions'!$B$41)+K301*(1-'1. Press Assumptions'!$B$42)</f>
        <v>6.51462380006471</v>
      </c>
      <c r="N301" s="1" t="n">
        <f aca="false">E301+F301+L301</f>
        <v>26.0584952002588</v>
      </c>
      <c r="O301" s="1" t="n">
        <f aca="false">M301</f>
        <v>6.51462380006471</v>
      </c>
      <c r="P301" s="1" t="n">
        <f aca="false">P300+N301</f>
        <v>355.101133166746</v>
      </c>
      <c r="Q301" s="1" t="n">
        <f aca="false">Q300+O301</f>
        <v>38.0294434790801</v>
      </c>
      <c r="R301" s="1" t="n">
        <f aca="false">P301/$B$22</f>
        <v>2.3673408877783</v>
      </c>
    </row>
    <row r="302" customFormat="false" ht="15" hidden="false" customHeight="true" outlineLevel="0" collapsed="false">
      <c r="A302" s="1" t="n">
        <v>11</v>
      </c>
      <c r="B302" s="1" t="n">
        <f aca="false">P225</f>
        <v>29.1606067919728</v>
      </c>
      <c r="C302" s="1" t="n">
        <f aca="false">MAX(0, $B$22-SUM(E$292:E301))</f>
        <v>0</v>
      </c>
      <c r="D302" s="1" t="n">
        <f aca="false">C302*$B$11</f>
        <v>0</v>
      </c>
      <c r="E302" s="1" t="n">
        <f aca="false">MIN(C302, MAX(0, B302))</f>
        <v>0</v>
      </c>
      <c r="F302" s="1" t="n">
        <f aca="false">IF(C302-E302&lt;=0, MIN(D302+SUM(D$292:D301)-SUM(F$292:F301), MAX(0, B302-E302)), 0)</f>
        <v>0</v>
      </c>
      <c r="G302" s="1" t="n">
        <f aca="false">MAX(0, B302-E302-F302)</f>
        <v>29.1606067919728</v>
      </c>
      <c r="H302" s="1" t="n">
        <f aca="false">P301</f>
        <v>355.101133166746</v>
      </c>
      <c r="I302" s="1" t="n">
        <f aca="false">IF(H302&lt;2*$B$22, MIN(G302, (2*$B$22-H302)/'1. Press Assumptions'!$B$40), 0)</f>
        <v>0</v>
      </c>
      <c r="J302" s="1" t="n">
        <f aca="false">IF(H302+I302*'1. Press Assumptions'!$B$40&lt;3*$B$22, MIN(MAX(0, G302-I302), (3*$B$22-(H302+I302*'1. Press Assumptions'!$B$40))/'1. Press Assumptions'!$B$41), 0)</f>
        <v>29.1606067919728</v>
      </c>
      <c r="K302" s="1" t="n">
        <f aca="false">MAX(0, G302-I302-J302)</f>
        <v>0</v>
      </c>
      <c r="L302" s="1" t="n">
        <f aca="false">I302*'1. Press Assumptions'!$B$40+J302*'1. Press Assumptions'!$B$41+K302*'1. Press Assumptions'!$B$42</f>
        <v>23.3284854335782</v>
      </c>
      <c r="M302" s="1" t="n">
        <f aca="false">I302*(1-'1. Press Assumptions'!$B$40)+J302*(1-'1. Press Assumptions'!$B$41)+K302*(1-'1. Press Assumptions'!$B$42)</f>
        <v>5.83212135839455</v>
      </c>
      <c r="N302" s="1" t="n">
        <f aca="false">E302+F302+L302</f>
        <v>23.3284854335782</v>
      </c>
      <c r="O302" s="1" t="n">
        <f aca="false">M302</f>
        <v>5.83212135839455</v>
      </c>
      <c r="P302" s="1" t="n">
        <f aca="false">P301+N302</f>
        <v>378.429618600324</v>
      </c>
      <c r="Q302" s="1" t="n">
        <f aca="false">Q301+O302</f>
        <v>43.8615648374747</v>
      </c>
      <c r="R302" s="1" t="n">
        <f aca="false">P302/$B$22</f>
        <v>2.52286412400216</v>
      </c>
    </row>
    <row r="303" customFormat="false" ht="15" hidden="false" customHeight="true" outlineLevel="0" collapsed="false">
      <c r="A303" s="1" t="n">
        <v>12</v>
      </c>
      <c r="B303" s="1" t="n">
        <f aca="false">P226</f>
        <v>26.1096297471772</v>
      </c>
      <c r="C303" s="1" t="n">
        <f aca="false">MAX(0, $B$22-SUM(E$292:E302))</f>
        <v>0</v>
      </c>
      <c r="D303" s="1" t="n">
        <f aca="false">C303*$B$11</f>
        <v>0</v>
      </c>
      <c r="E303" s="1" t="n">
        <f aca="false">MIN(C303, MAX(0, B303))</f>
        <v>0</v>
      </c>
      <c r="F303" s="1" t="n">
        <f aca="false">IF(C303-E303&lt;=0, MIN(D303+SUM(D$292:D302)-SUM(F$292:F302), MAX(0, B303-E303)), 0)</f>
        <v>0</v>
      </c>
      <c r="G303" s="1" t="n">
        <f aca="false">MAX(0, B303-E303-F303)</f>
        <v>26.1096297471772</v>
      </c>
      <c r="H303" s="1" t="n">
        <f aca="false">P302</f>
        <v>378.429618600324</v>
      </c>
      <c r="I303" s="1" t="n">
        <f aca="false">IF(H303&lt;2*$B$22, MIN(G303, (2*$B$22-H303)/'1. Press Assumptions'!$B$40), 0)</f>
        <v>0</v>
      </c>
      <c r="J303" s="1" t="n">
        <f aca="false">IF(H303+I303*'1. Press Assumptions'!$B$40&lt;3*$B$22, MIN(MAX(0, G303-I303), (3*$B$22-(H303+I303*'1. Press Assumptions'!$B$40))/'1. Press Assumptions'!$B$41), 0)</f>
        <v>26.1096297471772</v>
      </c>
      <c r="K303" s="1" t="n">
        <f aca="false">MAX(0, G303-I303-J303)</f>
        <v>0</v>
      </c>
      <c r="L303" s="1" t="n">
        <f aca="false">I303*'1. Press Assumptions'!$B$40+J303*'1. Press Assumptions'!$B$41+K303*'1. Press Assumptions'!$B$42</f>
        <v>20.8877037977418</v>
      </c>
      <c r="M303" s="1" t="n">
        <f aca="false">I303*(1-'1. Press Assumptions'!$B$40)+J303*(1-'1. Press Assumptions'!$B$41)+K303*(1-'1. Press Assumptions'!$B$42)</f>
        <v>5.22192594943545</v>
      </c>
      <c r="N303" s="1" t="n">
        <f aca="false">E303+F303+L303</f>
        <v>20.8877037977418</v>
      </c>
      <c r="O303" s="1" t="n">
        <f aca="false">M303</f>
        <v>5.22192594943545</v>
      </c>
      <c r="P303" s="1" t="n">
        <f aca="false">P302+N303</f>
        <v>399.317322398066</v>
      </c>
      <c r="Q303" s="1" t="n">
        <f aca="false">Q302+O303</f>
        <v>49.0834907869101</v>
      </c>
      <c r="R303" s="1" t="n">
        <f aca="false">P303/$B$22</f>
        <v>2.66211548265377</v>
      </c>
    </row>
    <row r="304" customFormat="false" ht="15" hidden="false" customHeight="true" outlineLevel="0" collapsed="false">
      <c r="A304" s="1" t="n">
        <v>13</v>
      </c>
      <c r="B304" s="1" t="n">
        <f aca="false">P227</f>
        <v>23.3754138133498</v>
      </c>
      <c r="C304" s="1" t="n">
        <f aca="false">MAX(0, $B$22-SUM(E$292:E303))</f>
        <v>0</v>
      </c>
      <c r="D304" s="1" t="n">
        <f aca="false">C304*$B$11</f>
        <v>0</v>
      </c>
      <c r="E304" s="1" t="n">
        <f aca="false">MIN(C304, MAX(0, B304))</f>
        <v>0</v>
      </c>
      <c r="F304" s="1" t="n">
        <f aca="false">IF(C304-E304&lt;=0, MIN(D304+SUM(D$292:D303)-SUM(F$292:F303), MAX(0, B304-E304)), 0)</f>
        <v>0</v>
      </c>
      <c r="G304" s="1" t="n">
        <f aca="false">MAX(0, B304-E304-F304)</f>
        <v>23.3754138133498</v>
      </c>
      <c r="H304" s="1" t="n">
        <f aca="false">P303</f>
        <v>399.317322398066</v>
      </c>
      <c r="I304" s="1" t="n">
        <f aca="false">IF(H304&lt;2*$B$22, MIN(G304, (2*$B$22-H304)/'1. Press Assumptions'!$B$40), 0)</f>
        <v>0</v>
      </c>
      <c r="J304" s="1" t="n">
        <f aca="false">IF(H304+I304*'1. Press Assumptions'!$B$40&lt;3*$B$22, MIN(MAX(0, G304-I304), (3*$B$22-(H304+I304*'1. Press Assumptions'!$B$40))/'1. Press Assumptions'!$B$41), 0)</f>
        <v>23.3754138133498</v>
      </c>
      <c r="K304" s="1" t="n">
        <f aca="false">MAX(0, G304-I304-J304)</f>
        <v>0</v>
      </c>
      <c r="L304" s="1" t="n">
        <f aca="false">I304*'1. Press Assumptions'!$B$40+J304*'1. Press Assumptions'!$B$41+K304*'1. Press Assumptions'!$B$42</f>
        <v>18.7003310506798</v>
      </c>
      <c r="M304" s="1" t="n">
        <f aca="false">I304*(1-'1. Press Assumptions'!$B$40)+J304*(1-'1. Press Assumptions'!$B$41)+K304*(1-'1. Press Assumptions'!$B$42)</f>
        <v>4.67508276266996</v>
      </c>
      <c r="N304" s="1" t="n">
        <f aca="false">E304+F304+L304</f>
        <v>18.7003310506798</v>
      </c>
      <c r="O304" s="1" t="n">
        <f aca="false">M304</f>
        <v>4.67508276266996</v>
      </c>
      <c r="P304" s="1" t="n">
        <f aca="false">P303+N304</f>
        <v>418.017653448745</v>
      </c>
      <c r="Q304" s="1" t="n">
        <f aca="false">Q303+O304</f>
        <v>53.7585735495801</v>
      </c>
      <c r="R304" s="1" t="n">
        <f aca="false">P304/$B$22</f>
        <v>2.78678435632497</v>
      </c>
    </row>
    <row r="305" customFormat="false" ht="15" hidden="false" customHeight="true" outlineLevel="0" collapsed="false">
      <c r="A305" s="1" t="n">
        <v>14</v>
      </c>
      <c r="B305" s="1" t="n">
        <f aca="false">P228</f>
        <v>20.9192343208379</v>
      </c>
      <c r="C305" s="1" t="n">
        <f aca="false">MAX(0, $B$22-SUM(E$292:E304))</f>
        <v>0</v>
      </c>
      <c r="D305" s="1" t="n">
        <f aca="false">C305*$B$11</f>
        <v>0</v>
      </c>
      <c r="E305" s="1" t="n">
        <f aca="false">MIN(C305, MAX(0, B305))</f>
        <v>0</v>
      </c>
      <c r="F305" s="1" t="n">
        <f aca="false">IF(C305-E305&lt;=0, MIN(D305+SUM(D$292:D304)-SUM(F$292:F304), MAX(0, B305-E305)), 0)</f>
        <v>0</v>
      </c>
      <c r="G305" s="1" t="n">
        <f aca="false">MAX(0, B305-E305-F305)</f>
        <v>20.9192343208379</v>
      </c>
      <c r="H305" s="1" t="n">
        <f aca="false">P304</f>
        <v>418.017653448745</v>
      </c>
      <c r="I305" s="1" t="n">
        <f aca="false">IF(H305&lt;2*$B$22, MIN(G305, (2*$B$22-H305)/'1. Press Assumptions'!$B$40), 0)</f>
        <v>0</v>
      </c>
      <c r="J305" s="1" t="n">
        <f aca="false">IF(H305+I305*'1. Press Assumptions'!$B$40&lt;3*$B$22, MIN(MAX(0, G305-I305), (3*$B$22-(H305+I305*'1. Press Assumptions'!$B$40))/'1. Press Assumptions'!$B$41), 0)</f>
        <v>20.9192343208379</v>
      </c>
      <c r="K305" s="1" t="n">
        <f aca="false">MAX(0, G305-I305-J305)</f>
        <v>0</v>
      </c>
      <c r="L305" s="1" t="n">
        <f aca="false">I305*'1. Press Assumptions'!$B$40+J305*'1. Press Assumptions'!$B$41+K305*'1. Press Assumptions'!$B$42</f>
        <v>16.7353874566704</v>
      </c>
      <c r="M305" s="1" t="n">
        <f aca="false">I305*(1-'1. Press Assumptions'!$B$40)+J305*(1-'1. Press Assumptions'!$B$41)+K305*(1-'1. Press Assumptions'!$B$42)</f>
        <v>4.18384686416759</v>
      </c>
      <c r="N305" s="1" t="n">
        <f aca="false">E305+F305+L305</f>
        <v>16.7353874566704</v>
      </c>
      <c r="O305" s="1" t="n">
        <f aca="false">M305</f>
        <v>4.18384686416759</v>
      </c>
      <c r="P305" s="1" t="n">
        <f aca="false">P304+N305</f>
        <v>434.753040905416</v>
      </c>
      <c r="Q305" s="1" t="n">
        <f aca="false">Q304+O305</f>
        <v>57.9424204137477</v>
      </c>
      <c r="R305" s="1" t="n">
        <f aca="false">P305/$B$22</f>
        <v>2.89835360603611</v>
      </c>
    </row>
    <row r="306" customFormat="false" ht="15" hidden="false" customHeight="true" outlineLevel="0" collapsed="false">
      <c r="A306" s="1" t="n">
        <v>15</v>
      </c>
      <c r="B306" s="1" t="n">
        <f aca="false">P229</f>
        <v>18.7075613031168</v>
      </c>
      <c r="C306" s="1" t="n">
        <f aca="false">MAX(0, $B$22-SUM(E$292:E305))</f>
        <v>0</v>
      </c>
      <c r="D306" s="1" t="n">
        <f aca="false">C306*$B$11</f>
        <v>0</v>
      </c>
      <c r="E306" s="1" t="n">
        <f aca="false">MIN(C306, MAX(0, B306))</f>
        <v>0</v>
      </c>
      <c r="F306" s="1" t="n">
        <f aca="false">IF(C306-E306&lt;=0, MIN(D306+SUM(D$292:D305)-SUM(F$292:F305), MAX(0, B306-E306)), 0)</f>
        <v>0</v>
      </c>
      <c r="G306" s="1" t="n">
        <f aca="false">MAX(0, B306-E306-F306)</f>
        <v>18.7075613031168</v>
      </c>
      <c r="H306" s="1" t="n">
        <f aca="false">P305</f>
        <v>434.753040905416</v>
      </c>
      <c r="I306" s="1" t="n">
        <f aca="false">IF(H306&lt;2*$B$22, MIN(G306, (2*$B$22-H306)/'1. Press Assumptions'!$B$40), 0)</f>
        <v>0</v>
      </c>
      <c r="J306" s="1" t="n">
        <f aca="false">IF(H306+I306*'1. Press Assumptions'!$B$40&lt;3*$B$22, MIN(MAX(0, G306-I306), (3*$B$22-(H306+I306*'1. Press Assumptions'!$B$40))/'1. Press Assumptions'!$B$41), 0)</f>
        <v>18.7075613031168</v>
      </c>
      <c r="K306" s="1" t="n">
        <f aca="false">MAX(0, G306-I306-J306)</f>
        <v>0</v>
      </c>
      <c r="L306" s="1" t="n">
        <f aca="false">I306*'1. Press Assumptions'!$B$40+J306*'1. Press Assumptions'!$B$41+K306*'1. Press Assumptions'!$B$42</f>
        <v>14.9660490424935</v>
      </c>
      <c r="M306" s="1" t="n">
        <f aca="false">I306*(1-'1. Press Assumptions'!$B$40)+J306*(1-'1. Press Assumptions'!$B$41)+K306*(1-'1. Press Assumptions'!$B$42)</f>
        <v>3.74151226062337</v>
      </c>
      <c r="N306" s="1" t="n">
        <f aca="false">E306+F306+L306</f>
        <v>14.9660490424935</v>
      </c>
      <c r="O306" s="1" t="n">
        <f aca="false">M306</f>
        <v>3.74151226062337</v>
      </c>
      <c r="P306" s="1" t="n">
        <f aca="false">P305+N306</f>
        <v>449.719089947909</v>
      </c>
      <c r="Q306" s="1" t="n">
        <f aca="false">Q305+O306</f>
        <v>61.683932674371</v>
      </c>
      <c r="R306" s="1" t="n">
        <f aca="false">P306/$B$22</f>
        <v>2.9981272663194</v>
      </c>
    </row>
    <row r="308" customFormat="false" ht="15" hidden="false" customHeight="true" outlineLevel="0" collapsed="false">
      <c r="A308" s="31" t="s">
        <v>986</v>
      </c>
    </row>
    <row r="309" customFormat="false" ht="15" hidden="false" customHeight="true" outlineLevel="0" collapsed="false">
      <c r="A309" s="1" t="s">
        <v>987</v>
      </c>
      <c r="B309" s="1" t="n">
        <f aca="false">P306</f>
        <v>449.719089947909</v>
      </c>
    </row>
    <row r="310" customFormat="false" ht="15" hidden="false" customHeight="true" outlineLevel="0" collapsed="false">
      <c r="A310" s="1" t="s">
        <v>988</v>
      </c>
      <c r="B310" s="1" t="n">
        <f aca="false">Q306</f>
        <v>61.683932674371</v>
      </c>
    </row>
    <row r="311" customFormat="false" ht="15" hidden="false" customHeight="true" outlineLevel="0" collapsed="false">
      <c r="A311" s="1" t="s">
        <v>989</v>
      </c>
      <c r="B311" s="1" t="n">
        <f aca="false">P306/$B$22</f>
        <v>2.9981272663194</v>
      </c>
    </row>
    <row r="312" customFormat="false" ht="15" hidden="false" customHeight="true" outlineLevel="0" collapsed="false">
      <c r="A312" s="1" t="s">
        <v>990</v>
      </c>
      <c r="B312" s="1" t="n">
        <f aca="false">Q306-B251</f>
        <v>0</v>
      </c>
    </row>
    <row r="315" customFormat="false" ht="15" hidden="false" customHeight="true" outlineLevel="0" collapsed="false">
      <c r="A315" s="34" t="s">
        <v>991</v>
      </c>
    </row>
    <row r="316" customFormat="false" ht="15" hidden="false" customHeight="true" outlineLevel="0" collapsed="false">
      <c r="A316" s="1" t="s">
        <v>992</v>
      </c>
      <c r="B316" s="1" t="n">
        <f aca="false">SUM(P215:P229)</f>
        <v>508.951807657729</v>
      </c>
    </row>
    <row r="317" customFormat="false" ht="15" hidden="false" customHeight="true" outlineLevel="0" collapsed="false">
      <c r="A317" s="1" t="s">
        <v>993</v>
      </c>
      <c r="B317" s="1" t="n">
        <f aca="false">MIN(B316, $B$22)</f>
        <v>150</v>
      </c>
    </row>
    <row r="318" customFormat="false" ht="15" hidden="false" customHeight="true" outlineLevel="0" collapsed="false">
      <c r="A318" s="1" t="s">
        <v>994</v>
      </c>
      <c r="B318" s="1" t="n">
        <f aca="false">SUM(F292:F306)</f>
        <v>52.9833592504251</v>
      </c>
    </row>
    <row r="319" customFormat="false" ht="15" hidden="false" customHeight="true" outlineLevel="0" collapsed="false">
      <c r="A319" s="1" t="s">
        <v>995</v>
      </c>
      <c r="B319" s="1" t="n">
        <f aca="false">MAX(0, B316 - B317 - B318)</f>
        <v>305.968448407304</v>
      </c>
    </row>
    <row r="320" customFormat="false" ht="15" hidden="false" customHeight="true" outlineLevel="0" collapsed="false">
      <c r="A320" s="1" t="s">
        <v>996</v>
      </c>
      <c r="B320" s="1" t="n">
        <f aca="false">B317+B318</f>
        <v>202.983359250425</v>
      </c>
    </row>
    <row r="321" customFormat="false" ht="15" hidden="false" customHeight="true" outlineLevel="0" collapsed="false">
      <c r="A321" s="1" t="s">
        <v>997</v>
      </c>
      <c r="B321" s="1" t="n">
        <f aca="false">IF(B320&lt;2*$B$22, MIN(B319, (2*$B$22-B320)/'1. Press Assumptions'!$B$40), 0)</f>
        <v>121.270800936969</v>
      </c>
    </row>
    <row r="322" customFormat="false" ht="15" hidden="false" customHeight="true" outlineLevel="0" collapsed="false">
      <c r="A322" s="1" t="s">
        <v>998</v>
      </c>
      <c r="B322" s="1" t="n">
        <f aca="false">IF(B320+B321*'1. Press Assumptions'!$B$40&lt;3*$B$22, MIN(MAX(0, B319-B321), (3*$B$22-(B320+B321*'1. Press Assumptions'!$B$40))/'1. Press Assumptions'!$B$41), 0)</f>
        <v>184.697647470336</v>
      </c>
    </row>
    <row r="323" customFormat="false" ht="15" hidden="false" customHeight="true" outlineLevel="0" collapsed="false">
      <c r="A323" s="1" t="s">
        <v>999</v>
      </c>
      <c r="B323" s="1" t="n">
        <f aca="false">MAX(0, B319-B321-B322)</f>
        <v>0</v>
      </c>
    </row>
    <row r="324" customFormat="false" ht="15" hidden="false" customHeight="true" outlineLevel="0" collapsed="false">
      <c r="A324" s="1" t="s">
        <v>1000</v>
      </c>
      <c r="B324" s="1" t="n">
        <f aca="false">B317+B318+B321*'1. Press Assumptions'!$B$40+B322*'1. Press Assumptions'!$B$41+B323*'1. Press Assumptions'!$B$42</f>
        <v>447.758117976269</v>
      </c>
    </row>
    <row r="325" customFormat="false" ht="15" hidden="false" customHeight="true" outlineLevel="0" collapsed="false">
      <c r="A325" s="1" t="s">
        <v>1001</v>
      </c>
      <c r="B325" s="1" t="n">
        <f aca="false">B321*(1-'1. Press Assumptions'!$B$40)+B322*(1-'1. Press Assumptions'!$B$41)+B323*(1-'1. Press Assumptions'!$B$42)</f>
        <v>61.1936896814608</v>
      </c>
    </row>
    <row r="326" customFormat="false" ht="15" hidden="false" customHeight="true" outlineLevel="0" collapsed="false">
      <c r="A326" s="1" t="s">
        <v>1002</v>
      </c>
      <c r="B326" s="1" t="n">
        <f aca="false">Q306</f>
        <v>61.683932674371</v>
      </c>
    </row>
    <row r="327" customFormat="false" ht="15" hidden="false" customHeight="true" outlineLevel="0" collapsed="false">
      <c r="A327" s="5" t="s">
        <v>1003</v>
      </c>
      <c r="B327" s="5" t="n">
        <f aca="false">MAX(0, B326-B325)</f>
        <v>0.490242992910204</v>
      </c>
    </row>
    <row r="328" customFormat="false" ht="15" hidden="false" customHeight="true" outlineLevel="0" collapsed="false">
      <c r="A328" s="1" t="s">
        <v>1004</v>
      </c>
      <c r="B328" s="1" t="n">
        <f aca="false">P306+B327</f>
        <v>450.20933294082</v>
      </c>
    </row>
    <row r="329" customFormat="false" ht="15" hidden="false" customHeight="true" outlineLevel="0" collapsed="false">
      <c r="A329" s="1" t="s">
        <v>1005</v>
      </c>
      <c r="B329" s="1" t="n">
        <f aca="false">B328/$B$22</f>
        <v>3.0013955529388</v>
      </c>
    </row>
    <row r="332" customFormat="false" ht="15" hidden="false" customHeight="true" outlineLevel="0" collapsed="false">
      <c r="A332" s="34" t="s">
        <v>1006</v>
      </c>
    </row>
    <row r="333" customFormat="false" ht="15" hidden="false" customHeight="true" outlineLevel="0" collapsed="false">
      <c r="A333" s="41" t="s">
        <v>1007</v>
      </c>
      <c r="B333" s="41" t="s">
        <v>1008</v>
      </c>
      <c r="C333" s="41" t="s">
        <v>1009</v>
      </c>
      <c r="D333" s="41" t="s">
        <v>1010</v>
      </c>
      <c r="E333" s="41" t="s">
        <v>1011</v>
      </c>
    </row>
    <row r="334" customFormat="false" ht="15" hidden="false" customHeight="true" outlineLevel="0" collapsed="false">
      <c r="A334" s="1" t="s">
        <v>1012</v>
      </c>
      <c r="B334" s="38" t="n">
        <f aca="false">SUM(Y31:Y54)</f>
        <v>25.3782343337236</v>
      </c>
      <c r="C334" s="38" t="n">
        <v>30</v>
      </c>
      <c r="D334" s="38" t="n">
        <f aca="false">B334-C334</f>
        <v>-4.62176566627635</v>
      </c>
      <c r="E334" s="1" t="str">
        <f aca="false">IF(B334&gt;=C334, "OK", "SHORTFALL: $"&amp;TEXT(C334-B334,"0.0")&amp;"M")</f>
        <v>SHORTFALL: $4.6M</v>
      </c>
    </row>
    <row r="335" customFormat="false" ht="15" hidden="false" customHeight="true" outlineLevel="0" collapsed="false">
      <c r="A335" s="1" t="s">
        <v>1013</v>
      </c>
      <c r="B335" s="38" t="n">
        <f aca="false">SUM(Y31:Y58)</f>
        <v>34.7737602764769</v>
      </c>
      <c r="C335" s="38" t="n">
        <v>60</v>
      </c>
      <c r="D335" s="38" t="n">
        <f aca="false">B335-C335</f>
        <v>-25.2262397235231</v>
      </c>
      <c r="E335" s="1" t="str">
        <f aca="false">IF(B335&gt;=C335, "OK", "SHORTFALL: $"&amp;TEXT(C335-B335,"0.0")&amp;"M")</f>
        <v>SHORTFALL: $25.2M</v>
      </c>
    </row>
    <row r="336" customFormat="false" ht="15" hidden="false" customHeight="true" outlineLevel="0" collapsed="false">
      <c r="A336" s="1" t="s">
        <v>1014</v>
      </c>
      <c r="B336" s="38" t="n">
        <f aca="false">SUM(Y31:Y62)</f>
        <v>42.8370425029901</v>
      </c>
      <c r="C336" s="38" t="n">
        <v>90</v>
      </c>
      <c r="D336" s="38" t="n">
        <f aca="false">B336-C336</f>
        <v>-47.1629574970099</v>
      </c>
      <c r="E336" s="1" t="str">
        <f aca="false">IF(B336&gt;=C336, "OK", "SHORTFALL: $"&amp;TEXT(C336-B336,"0.0")&amp;"M")</f>
        <v>SHORTFALL: $47.2M</v>
      </c>
    </row>
    <row r="337" customFormat="false" ht="15" hidden="false" customHeight="true" outlineLevel="0" collapsed="false">
      <c r="A337" s="1" t="s">
        <v>1015</v>
      </c>
      <c r="B337" s="38" t="n">
        <f aca="false">SUM(Y31:Y66)</f>
        <v>42.8370425029901</v>
      </c>
      <c r="C337" s="38" t="n">
        <v>120</v>
      </c>
      <c r="D337" s="38" t="n">
        <f aca="false">B337-C337</f>
        <v>-77.1629574970099</v>
      </c>
      <c r="E337" s="1" t="str">
        <f aca="false">IF(B337&gt;=C337, "OK", "SHORTFALL: $"&amp;TEXT(C337-B337,"0.0")&amp;"M")</f>
        <v>SHORTFALL: $77.2M</v>
      </c>
    </row>
    <row r="338" customFormat="false" ht="15" hidden="false" customHeight="true" outlineLevel="0" collapsed="false">
      <c r="A338" s="220" t="s">
        <v>1016</v>
      </c>
      <c r="B338" s="1" t="n">
        <v>120</v>
      </c>
    </row>
    <row r="339" customFormat="false" ht="15" hidden="false" customHeight="true" outlineLevel="0" collapsed="false">
      <c r="A339" s="220" t="s">
        <v>1017</v>
      </c>
      <c r="B339" s="1" t="n">
        <f aca="false">SUM(Y31:Y66)</f>
        <v>42.8370425029901</v>
      </c>
    </row>
    <row r="340" customFormat="false" ht="15" hidden="false" customHeight="true" outlineLevel="0" collapsed="false">
      <c r="A340" s="5" t="s">
        <v>1018</v>
      </c>
      <c r="B340" s="5" t="n">
        <f aca="false">MAX(0, 120 - B339)</f>
        <v>77.1629574970099</v>
      </c>
    </row>
    <row r="350" customFormat="false" ht="15" hidden="false" customHeight="true" outlineLevel="0" collapsed="false">
      <c r="A350" s="41" t="s">
        <v>1019</v>
      </c>
    </row>
    <row r="351" customFormat="false" ht="15" hidden="false" customHeight="true" outlineLevel="0" collapsed="false">
      <c r="A351" s="1" t="s">
        <v>1020</v>
      </c>
      <c r="B351" s="1" t="s">
        <v>234</v>
      </c>
      <c r="C351" s="1" t="s">
        <v>244</v>
      </c>
      <c r="D351" s="1" t="s">
        <v>559</v>
      </c>
      <c r="E351" s="1" t="s">
        <v>953</v>
      </c>
      <c r="F351" s="1" t="s">
        <v>954</v>
      </c>
    </row>
    <row r="352" customFormat="false" ht="15" hidden="false" customHeight="true" outlineLevel="0" collapsed="false">
      <c r="A352" s="1" t="n">
        <v>12</v>
      </c>
      <c r="B352" s="1" t="n">
        <f aca="false">P42</f>
        <v>6.10806648830662</v>
      </c>
      <c r="C352" s="1" t="n">
        <f aca="false">V42</f>
        <v>2.75615558965112</v>
      </c>
      <c r="D352" s="1" t="n">
        <f aca="false">W42</f>
        <v>2.45</v>
      </c>
      <c r="E352" s="1" t="n">
        <f aca="false">X42</f>
        <v>0.056155589651115</v>
      </c>
      <c r="F352" s="1" t="n">
        <f aca="false">Y42</f>
        <v>0.0280777948255575</v>
      </c>
    </row>
    <row r="353" customFormat="false" ht="15" hidden="false" customHeight="true" outlineLevel="0" collapsed="false">
      <c r="A353" s="1" t="n">
        <v>18</v>
      </c>
      <c r="B353" s="1" t="n">
        <f aca="false">P48</f>
        <v>7.81893403713351</v>
      </c>
      <c r="C353" s="1" t="n">
        <f aca="false">V48</f>
        <v>4.24502534211325</v>
      </c>
      <c r="D353" s="1" t="n">
        <f aca="false">W48</f>
        <v>0</v>
      </c>
      <c r="E353" s="1" t="n">
        <f aca="false">X48</f>
        <v>3.99502534211325</v>
      </c>
      <c r="F353" s="1" t="n">
        <f aca="false">Y48</f>
        <v>1.99751267105663</v>
      </c>
    </row>
    <row r="354" customFormat="false" ht="15" hidden="false" customHeight="true" outlineLevel="0" collapsed="false">
      <c r="A354" s="1" t="n">
        <v>24</v>
      </c>
      <c r="B354" s="1" t="n">
        <f aca="false">P54</f>
        <v>7.36316867212258</v>
      </c>
      <c r="C354" s="1" t="n">
        <f aca="false">V54</f>
        <v>4.71719292597684</v>
      </c>
      <c r="D354" s="1" t="n">
        <f aca="false">W54</f>
        <v>0</v>
      </c>
      <c r="E354" s="1" t="n">
        <f aca="false">X54</f>
        <v>4.71719292597684</v>
      </c>
      <c r="F354" s="1" t="n">
        <f aca="false">Y54</f>
        <v>2.35859646298842</v>
      </c>
    </row>
    <row r="355" customFormat="false" ht="15" hidden="false" customHeight="true" outlineLevel="0" collapsed="false">
      <c r="A355" s="1" t="n">
        <v>28</v>
      </c>
      <c r="B355" s="1" t="n">
        <f aca="false">P58</f>
        <v>7.07631412128243</v>
      </c>
      <c r="C355" s="1" t="n">
        <f aca="false">V58</f>
        <v>4.68164926692423</v>
      </c>
      <c r="D355" s="1" t="n">
        <f aca="false">W58</f>
        <v>0</v>
      </c>
      <c r="E355" s="1" t="n">
        <f aca="false">X58</f>
        <v>4.68164926692423</v>
      </c>
      <c r="F355" s="1" t="n">
        <f aca="false">Y58</f>
        <v>2.34082463346211</v>
      </c>
    </row>
    <row r="356" customFormat="false" ht="15" hidden="false" customHeight="true" outlineLevel="0" collapsed="false">
      <c r="A356" s="1" t="n">
        <v>30</v>
      </c>
      <c r="B356" s="1" t="n">
        <f aca="false">P60</f>
        <v>6.93773664081972</v>
      </c>
      <c r="C356" s="1" t="n">
        <f aca="false">V60</f>
        <v>4.64995083513647</v>
      </c>
      <c r="D356" s="1" t="n">
        <f aca="false">W60</f>
        <v>0</v>
      </c>
      <c r="E356" s="1" t="n">
        <f aca="false">X60</f>
        <v>4.64995083513647</v>
      </c>
      <c r="F356" s="1" t="n">
        <f aca="false">Y60</f>
        <v>2.32497541756823</v>
      </c>
    </row>
    <row r="357" customFormat="false" ht="15" hidden="false" customHeight="true" outlineLevel="0" collapsed="false">
      <c r="A357" s="1" t="n">
        <v>32</v>
      </c>
      <c r="B357" s="1" t="n">
        <f aca="false">P62</f>
        <v>8.30228746247033</v>
      </c>
      <c r="C357" s="1" t="n">
        <f aca="false">V62</f>
        <v>4.6260941323886</v>
      </c>
      <c r="D357" s="1" t="n">
        <f aca="false">W62</f>
        <v>2.45</v>
      </c>
      <c r="E357" s="1" t="n">
        <f aca="false">X62</f>
        <v>2.1760941323886</v>
      </c>
      <c r="F357" s="1" t="n">
        <f aca="false">Y62</f>
        <v>1.0880470661943</v>
      </c>
    </row>
    <row r="358" customFormat="false" ht="15" hidden="false" customHeight="true" outlineLevel="0" collapsed="false">
      <c r="A358" s="1" t="n">
        <v>36</v>
      </c>
      <c r="B358" s="1" t="n">
        <f aca="false">P66</f>
        <v>8.01504256886757</v>
      </c>
      <c r="C358" s="1" t="n">
        <f aca="false">V66</f>
        <v>5.23657807384983</v>
      </c>
      <c r="D358" s="1" t="n">
        <f aca="false">W66</f>
        <v>0</v>
      </c>
      <c r="E358" s="1" t="n">
        <f aca="false">X66</f>
        <v>5.23657807384983</v>
      </c>
      <c r="F358" s="1" t="n">
        <f aca="false">Y66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2026-05-05T03:19:40Z</dcterms:created>
  <dc:creator>openpyxl</dc:creator>
  <dc:description/>
  <dc:language>en-US</dc:language>
  <cp:lastModifiedBy/>
  <dcterms:modified xsi:type="dcterms:W3CDTF">2026-07-28T06:46:07Z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